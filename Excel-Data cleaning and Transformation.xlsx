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DATA CLEANING\oct 21\"/>
    </mc:Choice>
  </mc:AlternateContent>
  <xr:revisionPtr revIDLastSave="0" documentId="8_{56F7793C-B071-423D-917F-598167FD56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ssignment Questions" sheetId="1" r:id="rId1"/>
    <sheet name="Summary" sheetId="2" r:id="rId2"/>
    <sheet name="Cleaned Dataset" sheetId="3" r:id="rId3"/>
    <sheet name="Original Data" sheetId="4" r:id="rId4"/>
    <sheet name="Cleaning Notes" sheetId="5" r:id="rId5"/>
  </sheets>
  <definedNames>
    <definedName name="Z_0FEFD661_030D_4D65_B5E4_BE511D382733_.wvu.FilterData" localSheetId="3" hidden="1">'Original Data'!$A$1:$F$35</definedName>
    <definedName name="Z_41908C08_D31E_44AF_90BA_0C5EF1D4003D_.wvu.FilterData" localSheetId="4" hidden="1">'Cleaning Notes'!$A$1:$B$61</definedName>
    <definedName name="Z_C60BCC52_F655_488E_8C5B_3A34D1EF669D_.wvu.FilterData" localSheetId="2" hidden="1">'Cleaned Dataset'!$A$1:$J$32</definedName>
  </definedNames>
  <calcPr calcId="191029"/>
  <customWorkbookViews>
    <customWorkbookView name="CleanedProducts filter view" guid="{C60BCC52-F655-488E-8C5B-3A34D1EF669D}" maximized="1" windowWidth="0" windowHeight="0" activeSheetId="0"/>
    <customWorkbookView name="CleaningNotes filter view" guid="{41908C08-D31E-44AF-90BA-0C5EF1D4003D}" maximized="1" windowWidth="0" windowHeight="0" activeSheetId="0"/>
    <customWorkbookView name="OriginalProducts filter view" guid="{0FEFD661-030D-4D65-B5E4-BE511D38273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qzE7JeCSSwK747u9a4x2GThMwPaFudv6hlnbZ2VvuAc=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<sst xmlns="http://schemas.openxmlformats.org/spreadsheetml/2006/main" count="524" uniqueCount="255">
  <si>
    <t>Perform the following in the dataset from the 'Dataset' sheet.</t>
  </si>
  <si>
    <t>DATA CLEANING &amp; TRANSFORMATION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</si>
  <si>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</si>
  <si>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</si>
  <si>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</si>
  <si>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</si>
  <si>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</si>
  <si>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</si>
  <si>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</si>
  <si>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</si>
  <si>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</si>
  <si>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</si>
  <si>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</si>
  <si>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Product dataset | cleaned and standardized workbook</t>
  </si>
  <si>
    <t>• Merge the "Brand Name" and "Product Name" columns into one column named "Product Brand".</t>
  </si>
  <si>
    <t>Metric</t>
  </si>
  <si>
    <t>5) Number Formatting:</t>
  </si>
  <si>
    <t>Value</t>
  </si>
  <si>
    <t xml:space="preserve">• Format the data type of the "Price" column to currency format. </t>
  </si>
  <si>
    <t>Cleaned records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</si>
  <si>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</si>
  <si>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</si>
  <si>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</si>
  <si>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</si>
  <si>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Unique product brands</t>
  </si>
  <si>
    <t>Total quantity</t>
  </si>
  <si>
    <t>Total listed value</t>
  </si>
  <si>
    <t>Prices imputed</t>
  </si>
  <si>
    <t>Categories imputed</t>
  </si>
  <si>
    <t>Source records</t>
  </si>
  <si>
    <t>Workbook guide</t>
  </si>
  <si>
    <t>Cleaned Dataset</t>
  </si>
  <si>
    <t>Standardized dates, product names, categories and numeric prices. Imputed values are marked in status columns.</t>
  </si>
  <si>
    <t>Original Data</t>
  </si>
  <si>
    <t>Original source table preserved for comparison.</t>
  </si>
  <si>
    <t>Cleaning Notes</t>
  </si>
  <si>
    <t>Instructions and notes extracted from the original workbook.</t>
  </si>
  <si>
    <t>Manufacturing Date</t>
  </si>
  <si>
    <t>ProductID</t>
  </si>
  <si>
    <t>Product Name</t>
  </si>
  <si>
    <t>Country Code</t>
  </si>
  <si>
    <t>Brand Name</t>
  </si>
  <si>
    <t>Price ($)</t>
  </si>
  <si>
    <t>Quantity</t>
  </si>
  <si>
    <t>Category</t>
  </si>
  <si>
    <t>28-JAN-US</t>
  </si>
  <si>
    <t>Product Brand</t>
  </si>
  <si>
    <t>Price</t>
  </si>
  <si>
    <t>laptop</t>
  </si>
  <si>
    <t>Price Status</t>
  </si>
  <si>
    <t>Category Status</t>
  </si>
  <si>
    <t>Dell</t>
  </si>
  <si>
    <t>US</t>
  </si>
  <si>
    <t>Laptop</t>
  </si>
  <si>
    <t>Dell Laptop</t>
  </si>
  <si>
    <t>Electronics</t>
  </si>
  <si>
    <t>15-FEB-US</t>
  </si>
  <si>
    <t>Sneakers</t>
  </si>
  <si>
    <t>Original</t>
  </si>
  <si>
    <t>Nike</t>
  </si>
  <si>
    <t>Fashion</t>
  </si>
  <si>
    <t>03-MAR-US</t>
  </si>
  <si>
    <t>Coffee Maker</t>
  </si>
  <si>
    <t>Keurig</t>
  </si>
  <si>
    <t>Nike Sneakers</t>
  </si>
  <si>
    <t>Kitchen</t>
  </si>
  <si>
    <t>11-APR-US</t>
  </si>
  <si>
    <t>smartphone</t>
  </si>
  <si>
    <t>Samsung</t>
  </si>
  <si>
    <t>22-MAY-US</t>
  </si>
  <si>
    <t>Backpack</t>
  </si>
  <si>
    <t>North Face</t>
  </si>
  <si>
    <t>Keurig Coffee Maker</t>
  </si>
  <si>
    <t>07-JUN-UK</t>
  </si>
  <si>
    <t>Headphones</t>
  </si>
  <si>
    <t>Sony</t>
  </si>
  <si>
    <t>Electroni</t>
  </si>
  <si>
    <t>19-JUL-UK</t>
  </si>
  <si>
    <t>Smartphone</t>
  </si>
  <si>
    <t>T-shirt</t>
  </si>
  <si>
    <t>Adidas</t>
  </si>
  <si>
    <t>Samsung Smartphone</t>
  </si>
  <si>
    <t>23-AUG-UK</t>
  </si>
  <si>
    <t>Blender</t>
  </si>
  <si>
    <t>Ninja</t>
  </si>
  <si>
    <t>05-SEP-UK</t>
  </si>
  <si>
    <t>Tablet</t>
  </si>
  <si>
    <t>Apple</t>
  </si>
  <si>
    <t>North Face Backpack</t>
  </si>
  <si>
    <t>14-OCT-UK</t>
  </si>
  <si>
    <t>Hiking Boots</t>
  </si>
  <si>
    <t>Timberland</t>
  </si>
  <si>
    <t>Section</t>
  </si>
  <si>
    <t>Imputed</t>
  </si>
  <si>
    <t>Outdoor</t>
  </si>
  <si>
    <t>17-JUN-IN</t>
  </si>
  <si>
    <t>Instructions / Notes</t>
  </si>
  <si>
    <t>UK</t>
  </si>
  <si>
    <t>HP</t>
  </si>
  <si>
    <t>1) Handling Missing Values</t>
  </si>
  <si>
    <t>Sony Headphones</t>
  </si>
  <si>
    <t>Handling Missing Values</t>
  </si>
  <si>
    <t>25-NOV-AU</t>
  </si>
  <si>
    <t>Missing Values in the 'Price' Column:</t>
  </si>
  <si>
    <t>General</t>
  </si>
  <si>
    <t>Rows affected: 07-JUN-UK (Sony Headphones)</t>
  </si>
  <si>
    <t>08-DEC-DE</t>
  </si>
  <si>
    <t>14-AUG-US (Coleman Camping Tent)</t>
  </si>
  <si>
    <t>Nespresso</t>
  </si>
  <si>
    <t>T-Shirt</t>
  </si>
  <si>
    <t>and 03-JUN-CA (Ray-Ban Sunglasses) have missing price values.</t>
  </si>
  <si>
    <t>Adidas T-shirt</t>
  </si>
  <si>
    <t>Handling strategy: Since price varies heavily by brand,</t>
  </si>
  <si>
    <t>18-FEB-CA</t>
  </si>
  <si>
    <t>Smartwatch</t>
  </si>
  <si>
    <t>you can impute the missing values by finding the average (mean) price of other items in the same</t>
  </si>
  <si>
    <t>Fitbit</t>
  </si>
  <si>
    <t>Category (e.g., average of Electronics for the Sony headphones) or</t>
  </si>
  <si>
    <t>16-APR-ES</t>
  </si>
  <si>
    <t>look up the specific model online. If exact matching isn't possible,</t>
  </si>
  <si>
    <t>headphones</t>
  </si>
  <si>
    <t>Bose</t>
  </si>
  <si>
    <t>using the median price of the specific category prevents skewed data.</t>
  </si>
  <si>
    <t>Missing Categories Strategy:</t>
  </si>
  <si>
    <t>Ninja Blender</t>
  </si>
  <si>
    <t>21-AUG-CA</t>
  </si>
  <si>
    <t>Laptop Bag</t>
  </si>
  <si>
    <t>Samsonite</t>
  </si>
  <si>
    <t>Rows affected: 22-MAY-US (North Face Backpack), 25-NOV-AU (Adidas Sneakers),</t>
  </si>
  <si>
    <t>Accessories</t>
  </si>
  <si>
    <t>08-DEC-DE (Nespresso Coffee Maker), and 19-JUL-BR (Xiaomi Fitness Tracker)</t>
  </si>
  <si>
    <t>20-AUG-CN</t>
  </si>
  <si>
    <t>Huawei</t>
  </si>
  <si>
    <t>have missing categories.Handling strategy: Impute these values by mapping them</t>
  </si>
  <si>
    <t>using known data patterns within the dataset. For instance, you can cross-reference</t>
  </si>
  <si>
    <t>Apple Tablet</t>
  </si>
  <si>
    <t>27-JAN-IT</t>
  </si>
  <si>
    <t>the Product Name or Brand Name:Backpack and Sneakers can be auto-filled as Fashion</t>
  </si>
  <si>
    <t>Asus</t>
  </si>
  <si>
    <t>01-MAR-UK</t>
  </si>
  <si>
    <t>Sunglasses</t>
  </si>
  <si>
    <t>Oakley</t>
  </si>
  <si>
    <t>or Outdoor based on existing product categories.Coffee Maker can be auto-filled as Kitchen.</t>
  </si>
  <si>
    <t>Timberland Hiking Boots</t>
  </si>
  <si>
    <t>Fitness Tracker can be auto-filled as Electronics.</t>
  </si>
  <si>
    <t>2) Correcting Inconsistent Data &amp; Typos</t>
  </si>
  <si>
    <t>14-AUG-US</t>
  </si>
  <si>
    <t>Camping Tent</t>
  </si>
  <si>
    <t>Coleman</t>
  </si>
  <si>
    <t>Correcting Inconsistent Data</t>
  </si>
  <si>
    <t>Inconsistent Text Formats ("Product Name" column): Case variants exist for identical</t>
  </si>
  <si>
    <t>14-MAY-RU</t>
  </si>
  <si>
    <t>Camera</t>
  </si>
  <si>
    <t>item types (e.g., laptop vs Laptop, smartphone vs Smartphone, headphones vs Headphones).</t>
  </si>
  <si>
    <t>Nikon</t>
  </si>
  <si>
    <t>IN</t>
  </si>
  <si>
    <t>Typos ("Category" column): Several entries are misspelled as Electroni instead of Electronics.</t>
  </si>
  <si>
    <t>Standardization Plan (Find and Replace):</t>
  </si>
  <si>
    <t>09-JAN-CA</t>
  </si>
  <si>
    <t>Microwave</t>
  </si>
  <si>
    <t>HP Laptop</t>
  </si>
  <si>
    <t>Panasonic</t>
  </si>
  <si>
    <t>Find: smartphone → Replace with: Smartphone</t>
  </si>
  <si>
    <t>Find: headphones → Replace with: Headphones</t>
  </si>
  <si>
    <t>19-JUL-BR</t>
  </si>
  <si>
    <t>Find: Electroni → Replace with: Electronics</t>
  </si>
  <si>
    <t>Fitness Tracker</t>
  </si>
  <si>
    <t>Xiaomi</t>
  </si>
  <si>
    <t>Find: laptop → Replace with: Laptop</t>
  </si>
  <si>
    <t>3) Removing Duplicates</t>
  </si>
  <si>
    <t>AU</t>
  </si>
  <si>
    <t>Removing Duplicates</t>
  </si>
  <si>
    <t>Identified Duplicate Rows: There are 3 exact duplicate rows in the dataset:</t>
  </si>
  <si>
    <t>17-JUN-IN, Laptop, HP, 950, 25, Electronics (Appears at Row index 11 and 33)</t>
  </si>
  <si>
    <t>Adidas Sneakers</t>
  </si>
  <si>
    <t>16-APR-ES, headphones, Bose, 250, 20, Electroni (Appears at Row index 15 and 28)</t>
  </si>
  <si>
    <t>21-AUG-CA, Laptop Bag, Samsonite, 50, 35, Accessories (Appears at Row index 16 and 24)</t>
  </si>
  <si>
    <t>Action: Select the entire table in Excel, go to the Data tab, click Remove Duplicates,</t>
  </si>
  <si>
    <t>29-SEP-CA</t>
  </si>
  <si>
    <t>ensure all column boxes are checked, and click OK to keep only the unique records.</t>
  </si>
  <si>
    <t>4) Splitting and Merging Data</t>
  </si>
  <si>
    <t>Google</t>
  </si>
  <si>
    <t>DE</t>
  </si>
  <si>
    <t>Splitting and Merging Data</t>
  </si>
  <si>
    <t>Splitting "Product ID":</t>
  </si>
  <si>
    <t>The ProductID follows a DD-MMM-CC format (e.g., 28-JAN-US).</t>
  </si>
  <si>
    <t>03-JUN-CA</t>
  </si>
  <si>
    <t>Nespresso Coffee Maker</t>
  </si>
  <si>
    <t>Ray-Ban</t>
  </si>
  <si>
    <t>Use Text to Columns (delimited by the hyphen -) to separate the values.</t>
  </si>
  <si>
    <t>Number Formatting</t>
  </si>
  <si>
    <t>Resulting Column 1 (Manufacturing Date): e.g., 28-JAN (Clean up/convert to date format later).</t>
  </si>
  <si>
    <t>11-JUL-CA</t>
  </si>
  <si>
    <t>Resulting Column 2 (Country Code): e.g., US, UK, IN, CA.</t>
  </si>
  <si>
    <t>Vitamix</t>
  </si>
  <si>
    <t>Merging into "Product Brand":</t>
  </si>
  <si>
    <t>CA</t>
  </si>
  <si>
    <t>Create a new column named Product Brand.</t>
  </si>
  <si>
    <t>Fitbit Smartwatch</t>
  </si>
  <si>
    <t>Use the Excel formula: =C2&amp;" "&amp;B2 (assuming Brand Name is in Col C and</t>
  </si>
  <si>
    <t>Product Name is in Col B) to merge them into a single string (e.g., Dell Laptop).</t>
  </si>
  <si>
    <t>5) Number Formatting</t>
  </si>
  <si>
    <t>07-MAR-CA</t>
  </si>
  <si>
    <t>Dress</t>
  </si>
  <si>
    <t>Zara</t>
  </si>
  <si>
    <t>Price Column Formatting:</t>
  </si>
  <si>
    <t>ES</t>
  </si>
  <si>
    <t>Select the Price ($) column.</t>
  </si>
  <si>
    <t>Change the format dropdown home tab from General to Currency ($) to display values cleanly (e.g., $1,000.00).</t>
  </si>
  <si>
    <t>Bose Headphones</t>
  </si>
  <si>
    <t>13-APR-CA</t>
  </si>
  <si>
    <t>Toaster</t>
  </si>
  <si>
    <t>Manufacturing Date Formatting:</t>
  </si>
  <si>
    <t>Hamilton</t>
  </si>
  <si>
    <t>Select your newly split date column.</t>
  </si>
  <si>
    <t>Format it into DD-MM-YYYY using Format Cells &gt; Date or a custom rule string dd-mm-yyyy</t>
  </si>
  <si>
    <t>24-MAY-CA</t>
  </si>
  <si>
    <t>(e.g., 28-JAN becomes 28-01-2026).</t>
  </si>
  <si>
    <t>6) Conditional Formatting</t>
  </si>
  <si>
    <t>Garmin</t>
  </si>
  <si>
    <t>Conditional Formatting</t>
  </si>
  <si>
    <t>Price Data Bars:</t>
  </si>
  <si>
    <t>Highlight the Price ($) column data range.</t>
  </si>
  <si>
    <t>02-DEC-CA</t>
  </si>
  <si>
    <t>Jeans</t>
  </si>
  <si>
    <t>Go to Home &gt; Conditional Formatting &gt; Data Bars (or Color Scales) and choose</t>
  </si>
  <si>
    <t>Levi's</t>
  </si>
  <si>
    <t>a gradient fill to visualize lower versus higher-priced items dynamically.Highlighting "Electronics":</t>
  </si>
  <si>
    <t>Highlight the Category column.</t>
  </si>
  <si>
    <t>Go to Home &gt; Conditional Formatting &gt; Highlight Cells Rules &gt; Text that Contains...</t>
  </si>
  <si>
    <t>Type Electronics and choose a color layout (e.g., Light Red Fill with Dark Red Text) to automatically highlight matching rows.</t>
  </si>
  <si>
    <t>09-JUL-FR</t>
  </si>
  <si>
    <t>Watch</t>
  </si>
  <si>
    <t>Casio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</si>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</sst>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dd\-mmm\-yyyy"/>
  </numFmts>
  <fonts count="14">
    <font>
      <sz val="11"/>
      <color theme="1"/>
      <name val="Calibri"/>
      <scheme val="minor"/>
    </font>
    <font>
      <b/>
      <sz val="15"/>
      <color rgb="FFFFFFFF"/>
      <name val="Play"/>
    </font>
    <font>
      <b/>
      <sz val="11"/>
      <color rgb="FF17365D"/>
      <name val="Aptos"/>
    </font>
    <font>
      <sz val="10"/>
      <color rgb="FF222222"/>
      <name val="Aptos"/>
    </font>
    <font>
      <b/>
      <sz val="11"/>
      <color rgb="FF9C0006"/>
      <name val="Calibri"/>
      <family val="2"/>
      <scheme val="minor"/>
    </font>
    <font>
      <b/>
      <sz val="18"/>
      <color rgb="FFFFFFFF"/>
      <name val="Play"/>
    </font>
    <font>
      <i/>
      <sz val="11"/>
      <color rgb="FF666666"/>
      <name val="Calibri"/>
      <family val="2"/>
      <scheme val="minor"/>
    </font>
    <font>
      <sz val="11"/>
      <name val="Calibri"/>
      <family val="2"/>
    </font>
    <font>
      <b/>
      <sz val="11"/>
      <color rgb="FF17365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222222"/>
      <name val="Arial"/>
      <family val="2"/>
    </font>
    <font>
      <b/>
      <sz val="11"/>
      <color rgb="FF1F4E78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CE6F1"/>
        <bgColor rgb="FFDCE6F1"/>
      </patternFill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3F6FA"/>
        <bgColor rgb="FFF3F6FA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5" borderId="1" xfId="0" applyFont="1" applyFill="1" applyBorder="1"/>
    <xf numFmtId="0" fontId="11" fillId="0" borderId="0" xfId="0" applyFont="1" applyAlignment="1">
      <alignment horizontal="left" vertical="top" wrapText="1"/>
    </xf>
    <xf numFmtId="0" fontId="10" fillId="0" borderId="0" xfId="0" applyFont="1"/>
    <xf numFmtId="0" fontId="12" fillId="0" borderId="0" xfId="0" applyFont="1"/>
    <xf numFmtId="0" fontId="13" fillId="6" borderId="1" xfId="0" applyFont="1" applyFill="1" applyBorder="1"/>
    <xf numFmtId="164" fontId="13" fillId="6" borderId="1" xfId="0" applyNumberFormat="1" applyFont="1" applyFill="1" applyBorder="1"/>
    <xf numFmtId="0" fontId="13" fillId="0" borderId="0" xfId="0" applyFont="1" applyAlignment="1">
      <alignment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top" wrapText="1"/>
    </xf>
    <xf numFmtId="165" fontId="13" fillId="6" borderId="1" xfId="0" applyNumberFormat="1" applyFont="1" applyFill="1" applyBorder="1" applyAlignment="1">
      <alignment vertical="top" wrapText="1"/>
    </xf>
    <xf numFmtId="164" fontId="13" fillId="6" borderId="1" xfId="0" applyNumberFormat="1" applyFont="1" applyFill="1" applyBorder="1" applyAlignment="1">
      <alignment vertical="top" wrapText="1"/>
    </xf>
    <xf numFmtId="164" fontId="13" fillId="0" borderId="0" xfId="0" applyNumberFormat="1" applyFont="1" applyAlignment="1">
      <alignment vertical="top" wrapText="1"/>
    </xf>
    <xf numFmtId="165" fontId="13" fillId="0" borderId="0" xfId="0" applyNumberFormat="1" applyFont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center"/>
    </xf>
    <xf numFmtId="0" fontId="7" fillId="0" borderId="3" xfId="0" applyFont="1" applyBorder="1"/>
    <xf numFmtId="0" fontId="7" fillId="0" borderId="4" xfId="0" applyFont="1" applyBorder="1"/>
    <xf numFmtId="0" fontId="6" fillId="0" borderId="0" xfId="0" applyFont="1" applyAlignment="1">
      <alignment vertical="center"/>
    </xf>
    <xf numFmtId="0" fontId="0" fillId="0" borderId="0" xfId="0"/>
    <xf numFmtId="0" fontId="10" fillId="5" borderId="2" xfId="0" applyFont="1" applyFill="1" applyBorder="1"/>
  </cellXfs>
  <cellStyles count="1">
    <cellStyle name="Normal" xfId="0" builtinId="0"/>
  </cellStyles>
  <dxfs count="13">
    <dxf>
      <fill>
        <patternFill patternType="solid">
          <fgColor rgb="FF0000FF"/>
          <bgColor rgb="FF0000FF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Original Data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Cleaned Dataset-style" pivot="0" count="4" xr9:uid="{00000000-0011-0000-FFFF-FFFF01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Cleaning Notes-style" pivot="0" count="4" xr9:uid="{00000000-0011-0000-FFFF-FFFF02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leanedProducts" displayName="CleanedProducts" ref="A1:J32">
  <tableColumns count="10">
    <tableColumn id="1" xr3:uid="{00000000-0010-0000-0000-000001000000}" name="Manufacturing Date"/>
    <tableColumn id="2" xr3:uid="{00000000-0010-0000-0000-000002000000}" name="Country Code"/>
    <tableColumn id="3" xr3:uid="{00000000-0010-0000-0000-000003000000}" name="Product Name"/>
    <tableColumn id="4" xr3:uid="{00000000-0010-0000-0000-000004000000}" name="Brand Name"/>
    <tableColumn id="5" xr3:uid="{00000000-0010-0000-0000-000005000000}" name="Product Brand"/>
    <tableColumn id="6" xr3:uid="{00000000-0010-0000-0000-000006000000}" name="Price"/>
    <tableColumn id="7" xr3:uid="{00000000-0010-0000-0000-000007000000}" name="Quantity"/>
    <tableColumn id="8" xr3:uid="{00000000-0010-0000-0000-000008000000}" name="Category"/>
    <tableColumn id="9" xr3:uid="{00000000-0010-0000-0000-000009000000}" name="Price Status"/>
    <tableColumn id="10" xr3:uid="{00000000-0010-0000-0000-00000A000000}" name="Category Status"/>
  </tableColumns>
  <tableStyleInfo name="Cleaned Datas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riginalProducts" displayName="OriginalProducts" ref="A1:F35">
  <tableColumns count="6">
    <tableColumn id="1" xr3:uid="{00000000-0010-0000-0100-000001000000}" name="ProductID"/>
    <tableColumn id="2" xr3:uid="{00000000-0010-0000-0100-000002000000}" name="Product Name"/>
    <tableColumn id="3" xr3:uid="{00000000-0010-0000-0100-000003000000}" name="Brand Name"/>
    <tableColumn id="4" xr3:uid="{00000000-0010-0000-0100-000004000000}" name="Price ($)"/>
    <tableColumn id="5" xr3:uid="{00000000-0010-0000-0100-000005000000}" name="Quantity"/>
    <tableColumn id="6" xr3:uid="{00000000-0010-0000-0100-000006000000}" name="Category"/>
  </tableColumns>
  <tableStyleInfo name="Original 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ingNotes" displayName="CleaningNotes" ref="A1:B61">
  <tableColumns count="2">
    <tableColumn id="1" xr3:uid="{00000000-0010-0000-0200-000001000000}" name="Section"/>
    <tableColumn id="2" xr3:uid="{00000000-0010-0000-0200-000002000000}" name="Instructions / Notes"/>
  </tableColumns>
  <tableStyleInfo name="Cleaning No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53125" defaultRowHeight="15" customHeight="1"/>
  <cols>
    <col min="1" max="1" width="4" customWidth="1"/>
    <col min="2" max="2" width="31" customWidth="1"/>
    <col min="3" max="11" width="15" customWidth="1"/>
    <col min="12" max="26" width="8.7265625" customWidth="1"/>
  </cols>
  <sheetData>
    <row r="1" spans="1:11" ht="15.75" customHeight="1">
      <c r="A1" s="1" t="s">
        <v>0</v>
      </c>
    </row>
    <row r="2" spans="1:11" ht="15.75" customHeight="1"/>
    <row r="3" spans="1:11" ht="24" customHeight="1">
      <c r="B3" s="2" t="s">
        <v>2</v>
      </c>
    </row>
    <row r="4" spans="1:11" ht="31.5" customHeight="1">
      <c r="C4" s="3" t="s">
        <v>3</v>
      </c>
    </row>
    <row r="5" spans="1:11" ht="31.5" customHeight="1">
      <c r="B5" s="4"/>
      <c r="C5" s="3" t="s">
        <v>4</v>
      </c>
    </row>
    <row r="6" spans="1:11" ht="15.75" customHeight="1">
      <c r="B6" s="4"/>
    </row>
    <row r="7" spans="1:11" ht="24" customHeight="1">
      <c r="B7" s="2" t="s">
        <v>5</v>
      </c>
    </row>
    <row r="8" spans="1:11" ht="31.5" customHeight="1">
      <c r="C8" s="3" t="s">
        <v>6</v>
      </c>
    </row>
    <row r="9" spans="1:11" ht="31.5" customHeight="1">
      <c r="C9" s="3" t="s">
        <v>7</v>
      </c>
    </row>
    <row r="10" spans="1:11" ht="31.5" customHeight="1">
      <c r="C10" s="3" t="s">
        <v>8</v>
      </c>
    </row>
    <row r="11" spans="1:11" ht="15.75" customHeight="1">
      <c r="B11" s="4"/>
    </row>
    <row r="12" spans="1:11" ht="24" customHeight="1">
      <c r="B12" s="2" t="s">
        <v>9</v>
      </c>
    </row>
    <row r="13" spans="1:11" ht="31.5" customHeight="1">
      <c r="B13" s="5"/>
      <c r="C13" s="3" t="s">
        <v>10</v>
      </c>
    </row>
    <row r="14" spans="1:11" ht="15.75" customHeight="1"/>
    <row r="15" spans="1:11" ht="24" customHeight="1">
      <c r="B15" s="2" t="s">
        <v>11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31.5" customHeight="1">
      <c r="B16" s="6"/>
      <c r="C16" s="3" t="s">
        <v>12</v>
      </c>
      <c r="D16" s="6"/>
      <c r="E16" s="6"/>
      <c r="F16" s="6"/>
      <c r="G16" s="6"/>
      <c r="H16" s="6"/>
      <c r="I16" s="6"/>
      <c r="J16" s="6"/>
      <c r="K16" s="6"/>
    </row>
    <row r="17" spans="2:11" ht="31.5" customHeight="1">
      <c r="B17" s="6"/>
      <c r="C17" s="3" t="s">
        <v>14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24" customHeight="1">
      <c r="B19" s="2" t="s">
        <v>16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31.5" customHeight="1">
      <c r="B20" s="6"/>
      <c r="C20" s="3" t="s">
        <v>18</v>
      </c>
      <c r="D20" s="6"/>
      <c r="E20" s="6"/>
      <c r="F20" s="6"/>
      <c r="G20" s="6"/>
      <c r="H20" s="6"/>
      <c r="I20" s="6"/>
      <c r="J20" s="6"/>
      <c r="K20" s="6"/>
    </row>
    <row r="21" spans="2:11" ht="31.5" customHeight="1">
      <c r="B21" s="6"/>
      <c r="C21" s="3" t="s">
        <v>20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24" customHeight="1">
      <c r="B23" s="2" t="s">
        <v>21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31.5" customHeight="1">
      <c r="B24" s="6"/>
      <c r="C24" s="3" t="s">
        <v>22</v>
      </c>
      <c r="D24" s="6"/>
      <c r="E24" s="6"/>
      <c r="F24" s="6"/>
      <c r="G24" s="6"/>
      <c r="H24" s="6"/>
      <c r="I24" s="6"/>
      <c r="J24" s="6"/>
      <c r="K24" s="6"/>
    </row>
    <row r="25" spans="2:11" ht="31.5" customHeight="1">
      <c r="B25" s="6"/>
      <c r="C25" s="9" t="s">
        <v>23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10"/>
      <c r="D26" s="6"/>
      <c r="E26" s="6"/>
      <c r="F26" s="6"/>
      <c r="G26" s="6"/>
      <c r="H26" s="6"/>
      <c r="I26" s="6"/>
      <c r="J26" s="6"/>
      <c r="K26" s="6"/>
    </row>
    <row r="27" spans="2:11" ht="15.75" customHeight="1">
      <c r="B27" s="6"/>
      <c r="C27" s="6"/>
      <c r="D27" s="11"/>
      <c r="E27" s="6"/>
      <c r="F27" s="6"/>
      <c r="G27" s="6"/>
      <c r="H27" s="6"/>
      <c r="I27" s="6"/>
      <c r="J27" s="6"/>
      <c r="K27" s="6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/>
  <cols>
    <col min="1" max="1" width="29" customWidth="1"/>
    <col min="2" max="2" width="72" customWidth="1"/>
    <col min="3" max="6" width="16" customWidth="1"/>
    <col min="7" max="26" width="8.7265625" customWidth="1"/>
  </cols>
  <sheetData>
    <row r="1" spans="1:6" ht="33.75" customHeight="1">
      <c r="A1" s="22" t="s">
        <v>1</v>
      </c>
      <c r="B1" s="23"/>
      <c r="C1" s="23"/>
      <c r="D1" s="23"/>
      <c r="E1" s="23"/>
      <c r="F1" s="24"/>
    </row>
    <row r="2" spans="1:6" ht="14.5">
      <c r="A2" s="25" t="s">
        <v>13</v>
      </c>
      <c r="B2" s="26"/>
      <c r="C2" s="26"/>
      <c r="D2" s="26"/>
      <c r="E2" s="26"/>
      <c r="F2" s="26"/>
    </row>
    <row r="3" spans="1:6" ht="14.5">
      <c r="A3" s="7" t="s">
        <v>15</v>
      </c>
      <c r="B3" s="7" t="s">
        <v>17</v>
      </c>
    </row>
    <row r="4" spans="1:6" ht="14.5">
      <c r="A4" s="8" t="s">
        <v>19</v>
      </c>
      <c r="B4" s="8">
        <f>COUNTA('Cleaned Dataset'!C2:C32)</f>
        <v>31</v>
      </c>
      <c r="C4" s="8"/>
      <c r="D4" s="8"/>
      <c r="E4" s="8"/>
      <c r="F4" s="8"/>
    </row>
    <row r="5" spans="1:6" ht="14.5">
      <c r="A5" s="6" t="s">
        <v>24</v>
      </c>
      <c r="B5" s="12">
        <f>COUNTA('Cleaned Dataset'!E2:E32)</f>
        <v>31</v>
      </c>
    </row>
    <row r="6" spans="1:6" ht="14.5">
      <c r="A6" s="6" t="s">
        <v>25</v>
      </c>
      <c r="B6" s="12">
        <f>SUM('Cleaned Dataset'!G2:G32)</f>
        <v>820</v>
      </c>
    </row>
    <row r="7" spans="1:6" ht="14.5">
      <c r="A7" s="6" t="s">
        <v>26</v>
      </c>
      <c r="B7" s="12">
        <f>SUMPRODUCT('Cleaned Dataset'!F2:F32,'Cleaned Dataset'!G2:G32)</f>
        <v>275215.59999999998</v>
      </c>
    </row>
    <row r="8" spans="1:6" ht="14.5">
      <c r="A8" s="6" t="s">
        <v>27</v>
      </c>
      <c r="B8" s="13">
        <f>COUNTIF('Cleaned Dataset'!I2:I32,"Imputed")</f>
        <v>3</v>
      </c>
    </row>
    <row r="9" spans="1:6" ht="14.5">
      <c r="A9" s="6" t="s">
        <v>28</v>
      </c>
      <c r="B9" s="12">
        <f>COUNTIF('Cleaned Dataset'!J2:J32,"Imputed")</f>
        <v>4</v>
      </c>
    </row>
    <row r="10" spans="1:6" ht="14.5">
      <c r="A10" s="6" t="s">
        <v>29</v>
      </c>
      <c r="B10" s="12">
        <f>COUNTA('Original Data'!A2:A35)</f>
        <v>34</v>
      </c>
    </row>
    <row r="11" spans="1:6" ht="14.5">
      <c r="A11" s="6"/>
      <c r="B11" s="12"/>
    </row>
    <row r="12" spans="1:6" ht="14.5">
      <c r="A12" s="27" t="s">
        <v>30</v>
      </c>
      <c r="B12" s="23"/>
      <c r="C12" s="23"/>
      <c r="D12" s="23"/>
      <c r="E12" s="23"/>
      <c r="F12" s="24"/>
    </row>
    <row r="13" spans="1:6" ht="33.75" customHeight="1">
      <c r="A13" s="11" t="s">
        <v>31</v>
      </c>
      <c r="B13" s="14" t="s">
        <v>32</v>
      </c>
    </row>
    <row r="14" spans="1:6" ht="33.75" customHeight="1">
      <c r="A14" s="11" t="s">
        <v>33</v>
      </c>
      <c r="B14" s="14" t="s">
        <v>34</v>
      </c>
    </row>
    <row r="15" spans="1:6" ht="33.75" customHeight="1">
      <c r="A15" s="11" t="s">
        <v>35</v>
      </c>
      <c r="B15" s="14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2:F1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9" customWidth="1"/>
    <col min="2" max="2" width="14" customWidth="1"/>
    <col min="3" max="3" width="20" customWidth="1"/>
    <col min="4" max="4" width="18" customWidth="1"/>
    <col min="5" max="5" width="26" customWidth="1"/>
    <col min="6" max="6" width="15" customWidth="1"/>
    <col min="7" max="7" width="12" customWidth="1"/>
    <col min="8" max="8" width="22" customWidth="1"/>
    <col min="9" max="9" width="16" customWidth="1"/>
    <col min="10" max="10" width="18" customWidth="1"/>
    <col min="11" max="26" width="8.7265625" customWidth="1"/>
  </cols>
  <sheetData>
    <row r="1" spans="1:10" ht="30" customHeight="1">
      <c r="A1" s="15" t="s">
        <v>37</v>
      </c>
      <c r="B1" s="15" t="s">
        <v>40</v>
      </c>
      <c r="C1" s="15" t="s">
        <v>39</v>
      </c>
      <c r="D1" s="15" t="s">
        <v>41</v>
      </c>
      <c r="E1" s="15" t="s">
        <v>46</v>
      </c>
      <c r="F1" s="15" t="s">
        <v>47</v>
      </c>
      <c r="G1" s="15" t="s">
        <v>43</v>
      </c>
      <c r="H1" s="15" t="s">
        <v>44</v>
      </c>
      <c r="I1" s="15" t="s">
        <v>49</v>
      </c>
      <c r="J1" s="15" t="s">
        <v>50</v>
      </c>
    </row>
    <row r="2" spans="1:10" ht="14.5">
      <c r="A2" s="17">
        <v>46050</v>
      </c>
      <c r="B2" s="16" t="s">
        <v>52</v>
      </c>
      <c r="C2" s="16" t="s">
        <v>53</v>
      </c>
      <c r="D2" s="16" t="s">
        <v>51</v>
      </c>
      <c r="E2" s="16" t="s">
        <v>54</v>
      </c>
      <c r="F2" s="18">
        <v>1000</v>
      </c>
      <c r="G2" s="16">
        <v>30</v>
      </c>
      <c r="H2" s="16" t="s">
        <v>55</v>
      </c>
      <c r="I2" s="16" t="s">
        <v>58</v>
      </c>
      <c r="J2" s="16" t="s">
        <v>58</v>
      </c>
    </row>
    <row r="3" spans="1:10" ht="14.5">
      <c r="A3" s="20">
        <v>46068</v>
      </c>
      <c r="B3" s="14" t="s">
        <v>52</v>
      </c>
      <c r="C3" s="14" t="s">
        <v>57</v>
      </c>
      <c r="D3" s="14" t="s">
        <v>59</v>
      </c>
      <c r="E3" s="14" t="s">
        <v>64</v>
      </c>
      <c r="F3" s="19">
        <v>80</v>
      </c>
      <c r="G3" s="14">
        <v>15</v>
      </c>
      <c r="H3" s="14" t="s">
        <v>60</v>
      </c>
      <c r="I3" s="14" t="s">
        <v>58</v>
      </c>
      <c r="J3" s="14" t="s">
        <v>58</v>
      </c>
    </row>
    <row r="4" spans="1:10" ht="14.5">
      <c r="A4" s="17">
        <v>46084</v>
      </c>
      <c r="B4" s="16" t="s">
        <v>52</v>
      </c>
      <c r="C4" s="16" t="s">
        <v>62</v>
      </c>
      <c r="D4" s="16" t="s">
        <v>63</v>
      </c>
      <c r="E4" s="16" t="s">
        <v>72</v>
      </c>
      <c r="F4" s="18">
        <v>130</v>
      </c>
      <c r="G4" s="16">
        <v>40</v>
      </c>
      <c r="H4" s="16" t="s">
        <v>65</v>
      </c>
      <c r="I4" s="16" t="s">
        <v>58</v>
      </c>
      <c r="J4" s="16" t="s">
        <v>58</v>
      </c>
    </row>
    <row r="5" spans="1:10" ht="14.5">
      <c r="A5" s="20">
        <v>46123</v>
      </c>
      <c r="B5" s="14" t="s">
        <v>52</v>
      </c>
      <c r="C5" s="14" t="s">
        <v>78</v>
      </c>
      <c r="D5" s="14" t="s">
        <v>68</v>
      </c>
      <c r="E5" s="14" t="s">
        <v>81</v>
      </c>
      <c r="F5" s="19">
        <v>900</v>
      </c>
      <c r="G5" s="14">
        <v>25</v>
      </c>
      <c r="H5" s="14" t="s">
        <v>55</v>
      </c>
      <c r="I5" s="14" t="s">
        <v>58</v>
      </c>
      <c r="J5" s="14" t="s">
        <v>58</v>
      </c>
    </row>
    <row r="6" spans="1:10" ht="14.5">
      <c r="A6" s="17">
        <v>46164</v>
      </c>
      <c r="B6" s="16" t="s">
        <v>52</v>
      </c>
      <c r="C6" s="16" t="s">
        <v>70</v>
      </c>
      <c r="D6" s="16" t="s">
        <v>71</v>
      </c>
      <c r="E6" s="16" t="s">
        <v>88</v>
      </c>
      <c r="F6" s="18">
        <v>70</v>
      </c>
      <c r="G6" s="16">
        <v>20</v>
      </c>
      <c r="H6" s="16" t="s">
        <v>60</v>
      </c>
      <c r="I6" s="16" t="s">
        <v>58</v>
      </c>
      <c r="J6" s="21" t="s">
        <v>93</v>
      </c>
    </row>
    <row r="7" spans="1:10" ht="14.5">
      <c r="A7" s="20">
        <v>46180</v>
      </c>
      <c r="B7" s="14" t="s">
        <v>97</v>
      </c>
      <c r="C7" s="14" t="s">
        <v>74</v>
      </c>
      <c r="D7" s="14" t="s">
        <v>75</v>
      </c>
      <c r="E7" s="14" t="s">
        <v>100</v>
      </c>
      <c r="F7" s="19">
        <v>592.73</v>
      </c>
      <c r="G7" s="14">
        <v>45</v>
      </c>
      <c r="H7" s="14" t="s">
        <v>55</v>
      </c>
      <c r="I7" s="21" t="s">
        <v>93</v>
      </c>
      <c r="J7" s="14" t="s">
        <v>58</v>
      </c>
    </row>
    <row r="8" spans="1:10" ht="14.5">
      <c r="A8" s="17">
        <v>46222</v>
      </c>
      <c r="B8" s="16" t="s">
        <v>97</v>
      </c>
      <c r="C8" s="16" t="s">
        <v>109</v>
      </c>
      <c r="D8" s="16" t="s">
        <v>80</v>
      </c>
      <c r="E8" s="16" t="s">
        <v>111</v>
      </c>
      <c r="F8" s="18">
        <v>30</v>
      </c>
      <c r="G8" s="16">
        <v>5</v>
      </c>
      <c r="H8" s="16" t="s">
        <v>60</v>
      </c>
      <c r="I8" s="16" t="s">
        <v>58</v>
      </c>
      <c r="J8" s="16" t="s">
        <v>58</v>
      </c>
    </row>
    <row r="9" spans="1:10" ht="14.5">
      <c r="A9" s="20">
        <v>46257</v>
      </c>
      <c r="B9" s="14" t="s">
        <v>97</v>
      </c>
      <c r="C9" s="14" t="s">
        <v>83</v>
      </c>
      <c r="D9" s="14" t="s">
        <v>84</v>
      </c>
      <c r="E9" s="14" t="s">
        <v>124</v>
      </c>
      <c r="F9" s="19">
        <v>90</v>
      </c>
      <c r="G9" s="14">
        <v>35</v>
      </c>
      <c r="H9" s="14" t="s">
        <v>65</v>
      </c>
      <c r="I9" s="14" t="s">
        <v>58</v>
      </c>
      <c r="J9" s="14" t="s">
        <v>58</v>
      </c>
    </row>
    <row r="10" spans="1:10" ht="14.5">
      <c r="A10" s="17">
        <v>46270</v>
      </c>
      <c r="B10" s="16" t="s">
        <v>97</v>
      </c>
      <c r="C10" s="16" t="s">
        <v>86</v>
      </c>
      <c r="D10" s="16" t="s">
        <v>87</v>
      </c>
      <c r="E10" s="16" t="s">
        <v>135</v>
      </c>
      <c r="F10" s="18">
        <v>500</v>
      </c>
      <c r="G10" s="16">
        <v>50</v>
      </c>
      <c r="H10" s="16" t="s">
        <v>55</v>
      </c>
      <c r="I10" s="16" t="s">
        <v>58</v>
      </c>
      <c r="J10" s="16" t="s">
        <v>58</v>
      </c>
    </row>
    <row r="11" spans="1:10" ht="14.5">
      <c r="A11" s="20">
        <v>46309</v>
      </c>
      <c r="B11" s="14" t="s">
        <v>97</v>
      </c>
      <c r="C11" s="14" t="s">
        <v>90</v>
      </c>
      <c r="D11" s="14" t="s">
        <v>91</v>
      </c>
      <c r="E11" s="14" t="s">
        <v>143</v>
      </c>
      <c r="F11" s="19">
        <v>130</v>
      </c>
      <c r="G11" s="14">
        <v>10</v>
      </c>
      <c r="H11" s="14" t="s">
        <v>94</v>
      </c>
      <c r="I11" s="14" t="s">
        <v>58</v>
      </c>
      <c r="J11" s="14" t="s">
        <v>58</v>
      </c>
    </row>
    <row r="12" spans="1:10" ht="14.5">
      <c r="A12" s="17">
        <v>46190</v>
      </c>
      <c r="B12" s="16" t="s">
        <v>155</v>
      </c>
      <c r="C12" s="16" t="s">
        <v>53</v>
      </c>
      <c r="D12" s="16" t="s">
        <v>98</v>
      </c>
      <c r="E12" s="16" t="s">
        <v>160</v>
      </c>
      <c r="F12" s="18">
        <v>950</v>
      </c>
      <c r="G12" s="16">
        <v>25</v>
      </c>
      <c r="H12" s="16" t="s">
        <v>55</v>
      </c>
      <c r="I12" s="16" t="s">
        <v>58</v>
      </c>
      <c r="J12" s="16" t="s">
        <v>58</v>
      </c>
    </row>
    <row r="13" spans="1:10" ht="14.5">
      <c r="A13" s="20">
        <v>46351</v>
      </c>
      <c r="B13" s="14" t="s">
        <v>170</v>
      </c>
      <c r="C13" s="14" t="s">
        <v>57</v>
      </c>
      <c r="D13" s="14" t="s">
        <v>80</v>
      </c>
      <c r="E13" s="14" t="s">
        <v>174</v>
      </c>
      <c r="F13" s="19">
        <v>90</v>
      </c>
      <c r="G13" s="14">
        <v>40</v>
      </c>
      <c r="H13" s="14" t="s">
        <v>60</v>
      </c>
      <c r="I13" s="14" t="s">
        <v>58</v>
      </c>
      <c r="J13" s="21" t="s">
        <v>93</v>
      </c>
    </row>
    <row r="14" spans="1:10" ht="14.5">
      <c r="A14" s="17">
        <v>46364</v>
      </c>
      <c r="B14" s="16" t="s">
        <v>182</v>
      </c>
      <c r="C14" s="16" t="s">
        <v>62</v>
      </c>
      <c r="D14" s="16" t="s">
        <v>108</v>
      </c>
      <c r="E14" s="16" t="s">
        <v>187</v>
      </c>
      <c r="F14" s="18">
        <v>120</v>
      </c>
      <c r="G14" s="16">
        <v>35</v>
      </c>
      <c r="H14" s="16" t="s">
        <v>65</v>
      </c>
      <c r="I14" s="16" t="s">
        <v>58</v>
      </c>
      <c r="J14" s="21" t="s">
        <v>93</v>
      </c>
    </row>
    <row r="15" spans="1:10" ht="14.5">
      <c r="A15" s="20">
        <v>46071</v>
      </c>
      <c r="B15" s="14" t="s">
        <v>196</v>
      </c>
      <c r="C15" s="14" t="s">
        <v>114</v>
      </c>
      <c r="D15" s="14" t="s">
        <v>116</v>
      </c>
      <c r="E15" s="14" t="s">
        <v>198</v>
      </c>
      <c r="F15" s="19">
        <v>150</v>
      </c>
      <c r="G15" s="14">
        <v>15</v>
      </c>
      <c r="H15" s="14" t="s">
        <v>55</v>
      </c>
      <c r="I15" s="14" t="s">
        <v>58</v>
      </c>
      <c r="J15" s="14" t="s">
        <v>58</v>
      </c>
    </row>
    <row r="16" spans="1:10" ht="14.5">
      <c r="A16" s="17">
        <v>46128</v>
      </c>
      <c r="B16" s="16" t="s">
        <v>206</v>
      </c>
      <c r="C16" s="16" t="s">
        <v>74</v>
      </c>
      <c r="D16" s="16" t="s">
        <v>121</v>
      </c>
      <c r="E16" s="16" t="s">
        <v>209</v>
      </c>
      <c r="F16" s="18">
        <v>250</v>
      </c>
      <c r="G16" s="16">
        <v>20</v>
      </c>
      <c r="H16" s="16" t="s">
        <v>55</v>
      </c>
      <c r="I16" s="16" t="s">
        <v>58</v>
      </c>
      <c r="J16" s="16" t="s">
        <v>58</v>
      </c>
    </row>
    <row r="17" spans="1:10" ht="14.5">
      <c r="A17" s="20">
        <v>46255</v>
      </c>
      <c r="B17" s="14" t="s">
        <v>196</v>
      </c>
      <c r="C17" s="14" t="s">
        <v>126</v>
      </c>
      <c r="D17" s="14" t="s">
        <v>127</v>
      </c>
      <c r="E17" s="14" t="s">
        <v>234</v>
      </c>
      <c r="F17" s="19">
        <v>50</v>
      </c>
      <c r="G17" s="14">
        <v>35</v>
      </c>
      <c r="H17" s="14" t="s">
        <v>129</v>
      </c>
      <c r="I17" s="14" t="s">
        <v>58</v>
      </c>
      <c r="J17" s="14" t="s">
        <v>58</v>
      </c>
    </row>
    <row r="18" spans="1:10" ht="14.5">
      <c r="A18" s="17">
        <v>46254</v>
      </c>
      <c r="B18" s="16" t="s">
        <v>235</v>
      </c>
      <c r="C18" s="16" t="s">
        <v>114</v>
      </c>
      <c r="D18" s="16" t="s">
        <v>132</v>
      </c>
      <c r="E18" s="16" t="s">
        <v>236</v>
      </c>
      <c r="F18" s="18">
        <v>160</v>
      </c>
      <c r="G18" s="16">
        <v>15</v>
      </c>
      <c r="H18" s="16" t="s">
        <v>55</v>
      </c>
      <c r="I18" s="16" t="s">
        <v>58</v>
      </c>
      <c r="J18" s="16" t="s">
        <v>58</v>
      </c>
    </row>
    <row r="19" spans="1:10" ht="14.5">
      <c r="A19" s="20">
        <v>46049</v>
      </c>
      <c r="B19" s="14" t="s">
        <v>237</v>
      </c>
      <c r="C19" s="14" t="s">
        <v>53</v>
      </c>
      <c r="D19" s="14" t="s">
        <v>138</v>
      </c>
      <c r="E19" s="14" t="s">
        <v>238</v>
      </c>
      <c r="F19" s="19">
        <v>980</v>
      </c>
      <c r="G19" s="14">
        <v>10</v>
      </c>
      <c r="H19" s="14" t="s">
        <v>55</v>
      </c>
      <c r="I19" s="14" t="s">
        <v>58</v>
      </c>
      <c r="J19" s="14" t="s">
        <v>58</v>
      </c>
    </row>
    <row r="20" spans="1:10" ht="14.5">
      <c r="A20" s="17">
        <v>46082</v>
      </c>
      <c r="B20" s="16" t="s">
        <v>97</v>
      </c>
      <c r="C20" s="16" t="s">
        <v>140</v>
      </c>
      <c r="D20" s="16" t="s">
        <v>141</v>
      </c>
      <c r="E20" s="16" t="s">
        <v>239</v>
      </c>
      <c r="F20" s="18">
        <v>150</v>
      </c>
      <c r="G20" s="16">
        <v>15</v>
      </c>
      <c r="H20" s="16" t="s">
        <v>60</v>
      </c>
      <c r="I20" s="16" t="s">
        <v>58</v>
      </c>
      <c r="J20" s="16" t="s">
        <v>58</v>
      </c>
    </row>
    <row r="21" spans="1:10" ht="15.75" customHeight="1">
      <c r="A21" s="20">
        <v>46248</v>
      </c>
      <c r="B21" s="14" t="s">
        <v>52</v>
      </c>
      <c r="C21" s="14" t="s">
        <v>147</v>
      </c>
      <c r="D21" s="14" t="s">
        <v>148</v>
      </c>
      <c r="E21" s="14" t="s">
        <v>240</v>
      </c>
      <c r="F21" s="19">
        <v>130</v>
      </c>
      <c r="G21" s="14">
        <v>10</v>
      </c>
      <c r="H21" s="14" t="s">
        <v>94</v>
      </c>
      <c r="I21" s="21" t="s">
        <v>93</v>
      </c>
      <c r="J21" s="14" t="s">
        <v>58</v>
      </c>
    </row>
    <row r="22" spans="1:10" ht="15.75" customHeight="1">
      <c r="A22" s="17">
        <v>46156</v>
      </c>
      <c r="B22" s="16" t="s">
        <v>241</v>
      </c>
      <c r="C22" s="16" t="s">
        <v>152</v>
      </c>
      <c r="D22" s="16" t="s">
        <v>154</v>
      </c>
      <c r="E22" s="16" t="s">
        <v>242</v>
      </c>
      <c r="F22" s="18">
        <v>700</v>
      </c>
      <c r="G22" s="16">
        <v>50</v>
      </c>
      <c r="H22" s="16" t="s">
        <v>55</v>
      </c>
      <c r="I22" s="16" t="s">
        <v>58</v>
      </c>
      <c r="J22" s="16" t="s">
        <v>58</v>
      </c>
    </row>
    <row r="23" spans="1:10" ht="15.75" customHeight="1">
      <c r="A23" s="20">
        <v>46031</v>
      </c>
      <c r="B23" s="14" t="s">
        <v>196</v>
      </c>
      <c r="C23" s="14" t="s">
        <v>159</v>
      </c>
      <c r="D23" s="14" t="s">
        <v>161</v>
      </c>
      <c r="E23" s="14" t="s">
        <v>243</v>
      </c>
      <c r="F23" s="19">
        <v>80</v>
      </c>
      <c r="G23" s="14">
        <v>20</v>
      </c>
      <c r="H23" s="14" t="s">
        <v>65</v>
      </c>
      <c r="I23" s="14" t="s">
        <v>58</v>
      </c>
      <c r="J23" s="14" t="s">
        <v>58</v>
      </c>
    </row>
    <row r="24" spans="1:10" ht="15.75" customHeight="1">
      <c r="A24" s="17">
        <v>46222</v>
      </c>
      <c r="B24" s="16" t="s">
        <v>244</v>
      </c>
      <c r="C24" s="16" t="s">
        <v>166</v>
      </c>
      <c r="D24" s="16" t="s">
        <v>167</v>
      </c>
      <c r="E24" s="16" t="s">
        <v>245</v>
      </c>
      <c r="F24" s="18">
        <v>150</v>
      </c>
      <c r="G24" s="16">
        <v>30</v>
      </c>
      <c r="H24" s="16" t="s">
        <v>55</v>
      </c>
      <c r="I24" s="16" t="s">
        <v>58</v>
      </c>
      <c r="J24" s="21" t="s">
        <v>93</v>
      </c>
    </row>
    <row r="25" spans="1:10" ht="15.75" customHeight="1">
      <c r="A25" s="20">
        <v>46294</v>
      </c>
      <c r="B25" s="14" t="s">
        <v>196</v>
      </c>
      <c r="C25" s="14" t="s">
        <v>78</v>
      </c>
      <c r="D25" s="14" t="s">
        <v>181</v>
      </c>
      <c r="E25" s="14" t="s">
        <v>246</v>
      </c>
      <c r="F25" s="19">
        <v>800</v>
      </c>
      <c r="G25" s="14">
        <v>45</v>
      </c>
      <c r="H25" s="14" t="s">
        <v>55</v>
      </c>
      <c r="I25" s="14" t="s">
        <v>58</v>
      </c>
      <c r="J25" s="14" t="s">
        <v>58</v>
      </c>
    </row>
    <row r="26" spans="1:10" ht="15.75" customHeight="1">
      <c r="A26" s="17">
        <v>46176</v>
      </c>
      <c r="B26" s="16" t="s">
        <v>196</v>
      </c>
      <c r="C26" s="16" t="s">
        <v>140</v>
      </c>
      <c r="D26" s="16" t="s">
        <v>188</v>
      </c>
      <c r="E26" s="16" t="s">
        <v>247</v>
      </c>
      <c r="F26" s="18">
        <v>75.709999999999994</v>
      </c>
      <c r="G26" s="16">
        <v>25</v>
      </c>
      <c r="H26" s="16" t="s">
        <v>60</v>
      </c>
      <c r="I26" s="21" t="s">
        <v>93</v>
      </c>
      <c r="J26" s="16" t="s">
        <v>58</v>
      </c>
    </row>
    <row r="27" spans="1:10" ht="15.75" customHeight="1">
      <c r="A27" s="20">
        <v>46214</v>
      </c>
      <c r="B27" s="14" t="s">
        <v>196</v>
      </c>
      <c r="C27" s="14" t="s">
        <v>83</v>
      </c>
      <c r="D27" s="14" t="s">
        <v>194</v>
      </c>
      <c r="E27" s="14" t="s">
        <v>248</v>
      </c>
      <c r="F27" s="19">
        <v>400</v>
      </c>
      <c r="G27" s="14">
        <v>40</v>
      </c>
      <c r="H27" s="14" t="s">
        <v>65</v>
      </c>
      <c r="I27" s="14" t="s">
        <v>58</v>
      </c>
      <c r="J27" s="14" t="s">
        <v>58</v>
      </c>
    </row>
    <row r="28" spans="1:10" ht="15.75" customHeight="1">
      <c r="A28" s="17">
        <v>46088</v>
      </c>
      <c r="B28" s="16" t="s">
        <v>196</v>
      </c>
      <c r="C28" s="16" t="s">
        <v>203</v>
      </c>
      <c r="D28" s="16" t="s">
        <v>204</v>
      </c>
      <c r="E28" s="16" t="s">
        <v>249</v>
      </c>
      <c r="F28" s="18">
        <v>60</v>
      </c>
      <c r="G28" s="16">
        <v>30</v>
      </c>
      <c r="H28" s="16" t="s">
        <v>60</v>
      </c>
      <c r="I28" s="16" t="s">
        <v>58</v>
      </c>
      <c r="J28" s="16" t="s">
        <v>58</v>
      </c>
    </row>
    <row r="29" spans="1:10" ht="15.75" customHeight="1">
      <c r="A29" s="20">
        <v>46125</v>
      </c>
      <c r="B29" s="14" t="s">
        <v>196</v>
      </c>
      <c r="C29" s="14" t="s">
        <v>211</v>
      </c>
      <c r="D29" s="14" t="s">
        <v>213</v>
      </c>
      <c r="E29" s="14" t="s">
        <v>250</v>
      </c>
      <c r="F29" s="19">
        <v>40</v>
      </c>
      <c r="G29" s="14">
        <v>10</v>
      </c>
      <c r="H29" s="14" t="s">
        <v>65</v>
      </c>
      <c r="I29" s="14" t="s">
        <v>58</v>
      </c>
      <c r="J29" s="14" t="s">
        <v>58</v>
      </c>
    </row>
    <row r="30" spans="1:10" ht="15.75" customHeight="1">
      <c r="A30" s="17">
        <v>46166</v>
      </c>
      <c r="B30" s="16" t="s">
        <v>196</v>
      </c>
      <c r="C30" s="16" t="s">
        <v>166</v>
      </c>
      <c r="D30" s="16" t="s">
        <v>219</v>
      </c>
      <c r="E30" s="16" t="s">
        <v>251</v>
      </c>
      <c r="F30" s="18">
        <v>130</v>
      </c>
      <c r="G30" s="16">
        <v>5</v>
      </c>
      <c r="H30" s="16" t="s">
        <v>55</v>
      </c>
      <c r="I30" s="16" t="s">
        <v>58</v>
      </c>
      <c r="J30" s="16" t="s">
        <v>58</v>
      </c>
    </row>
    <row r="31" spans="1:10" ht="15.75" customHeight="1">
      <c r="A31" s="20">
        <v>46358</v>
      </c>
      <c r="B31" s="14" t="s">
        <v>196</v>
      </c>
      <c r="C31" s="14" t="s">
        <v>224</v>
      </c>
      <c r="D31" s="14" t="s">
        <v>226</v>
      </c>
      <c r="E31" s="14" t="s">
        <v>252</v>
      </c>
      <c r="F31" s="19">
        <v>50</v>
      </c>
      <c r="G31" s="14">
        <v>50</v>
      </c>
      <c r="H31" s="14" t="s">
        <v>60</v>
      </c>
      <c r="I31" s="14" t="s">
        <v>58</v>
      </c>
      <c r="J31" s="14" t="s">
        <v>58</v>
      </c>
    </row>
    <row r="32" spans="1:10" ht="15.75" customHeight="1">
      <c r="A32" s="17">
        <v>46212</v>
      </c>
      <c r="B32" s="16" t="s">
        <v>253</v>
      </c>
      <c r="C32" s="16" t="s">
        <v>232</v>
      </c>
      <c r="D32" s="16" t="s">
        <v>233</v>
      </c>
      <c r="E32" s="16" t="s">
        <v>254</v>
      </c>
      <c r="F32" s="18">
        <v>100</v>
      </c>
      <c r="G32" s="16">
        <v>20</v>
      </c>
      <c r="H32" s="16" t="s">
        <v>129</v>
      </c>
      <c r="I32" s="16" t="s">
        <v>58</v>
      </c>
      <c r="J32" s="16" t="s">
        <v>58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60BCC52-F655-488E-8C5B-3A34D1EF669D}" filter="1" showAutoFilter="1">
      <pageMargins left="0.7" right="0.7" top="0.75" bottom="0.75" header="0.3" footer="0.3"/>
      <autoFilter ref="A1:J32" xr:uid="{C08BECED-8694-4D92-A069-BC0B840C179D}"/>
      <extLst>
        <ext uri="GoogleSheetsCustomDataVersion1">
          <go:sheetsCustomData xmlns:go="http://customooxmlschemas.google.com/" filterViewId="87484982"/>
        </ext>
      </extLst>
    </customSheetView>
  </customSheetViews>
  <conditionalFormatting sqref="F2:F32">
    <cfRule type="colorScale" priority="1">
      <colorScale>
        <cfvo type="min"/>
        <cfvo type="formula" val="130"/>
        <cfvo type="formula" val="1000"/>
        <color rgb="FFFF0000"/>
        <color rgb="FFFFFF00"/>
        <color rgb="FF00FF00"/>
      </colorScale>
    </cfRule>
  </conditionalFormatting>
  <conditionalFormatting sqref="H2:H32">
    <cfRule type="expression" dxfId="0" priority="2">
      <formula>H2="Electronics"</formula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>
      <pane ySplit="1" topLeftCell="A2" activePane="bottomLeft" state="frozen"/>
      <selection pane="bottomLeft" activeCell="D24" sqref="D24"/>
    </sheetView>
  </sheetViews>
  <sheetFormatPr defaultColWidth="14.453125" defaultRowHeight="15" customHeight="1"/>
  <cols>
    <col min="1" max="1" width="18" customWidth="1"/>
    <col min="2" max="2" width="22" customWidth="1"/>
    <col min="3" max="3" width="18" customWidth="1"/>
    <col min="4" max="4" width="15" customWidth="1"/>
    <col min="5" max="5" width="12" customWidth="1"/>
    <col min="6" max="6" width="20" customWidth="1"/>
    <col min="7" max="26" width="8.7265625" customWidth="1"/>
  </cols>
  <sheetData>
    <row r="1" spans="1:6" ht="30" customHeight="1">
      <c r="A1" s="15" t="s">
        <v>38</v>
      </c>
      <c r="B1" s="15" t="s">
        <v>39</v>
      </c>
      <c r="C1" s="15" t="s">
        <v>41</v>
      </c>
      <c r="D1" s="15" t="s">
        <v>42</v>
      </c>
      <c r="E1" s="15" t="s">
        <v>43</v>
      </c>
      <c r="F1" s="15" t="s">
        <v>44</v>
      </c>
    </row>
    <row r="2" spans="1:6" ht="14.5">
      <c r="A2" s="16" t="s">
        <v>45</v>
      </c>
      <c r="B2" s="16" t="s">
        <v>48</v>
      </c>
      <c r="C2" s="16" t="s">
        <v>51</v>
      </c>
      <c r="D2" s="18">
        <v>1000</v>
      </c>
      <c r="E2" s="16">
        <v>30</v>
      </c>
      <c r="F2" s="16" t="s">
        <v>55</v>
      </c>
    </row>
    <row r="3" spans="1:6" ht="14.5">
      <c r="A3" s="14" t="s">
        <v>56</v>
      </c>
      <c r="B3" s="14" t="s">
        <v>57</v>
      </c>
      <c r="C3" s="14" t="s">
        <v>59</v>
      </c>
      <c r="D3" s="19">
        <v>80</v>
      </c>
      <c r="E3" s="14">
        <v>15</v>
      </c>
      <c r="F3" s="14" t="s">
        <v>60</v>
      </c>
    </row>
    <row r="4" spans="1:6" ht="14.5">
      <c r="A4" s="16" t="s">
        <v>61</v>
      </c>
      <c r="B4" s="16" t="s">
        <v>62</v>
      </c>
      <c r="C4" s="16" t="s">
        <v>63</v>
      </c>
      <c r="D4" s="18">
        <v>130</v>
      </c>
      <c r="E4" s="16">
        <v>40</v>
      </c>
      <c r="F4" s="16" t="s">
        <v>65</v>
      </c>
    </row>
    <row r="5" spans="1:6" ht="14.5">
      <c r="A5" s="14" t="s">
        <v>66</v>
      </c>
      <c r="B5" s="14" t="s">
        <v>67</v>
      </c>
      <c r="C5" s="14" t="s">
        <v>68</v>
      </c>
      <c r="D5" s="19">
        <v>900</v>
      </c>
      <c r="E5" s="14">
        <v>25</v>
      </c>
      <c r="F5" s="14" t="s">
        <v>55</v>
      </c>
    </row>
    <row r="6" spans="1:6" ht="14.5">
      <c r="A6" s="16" t="s">
        <v>69</v>
      </c>
      <c r="B6" s="16" t="s">
        <v>70</v>
      </c>
      <c r="C6" s="16" t="s">
        <v>71</v>
      </c>
      <c r="D6" s="18">
        <v>70</v>
      </c>
      <c r="E6" s="16">
        <v>20</v>
      </c>
      <c r="F6" s="16"/>
    </row>
    <row r="7" spans="1:6" ht="14.5">
      <c r="A7" s="14" t="s">
        <v>73</v>
      </c>
      <c r="B7" s="14" t="s">
        <v>74</v>
      </c>
      <c r="C7" s="14" t="s">
        <v>75</v>
      </c>
      <c r="D7" s="19"/>
      <c r="E7" s="14">
        <v>45</v>
      </c>
      <c r="F7" s="14" t="s">
        <v>76</v>
      </c>
    </row>
    <row r="8" spans="1:6" ht="14.5">
      <c r="A8" s="16" t="s">
        <v>77</v>
      </c>
      <c r="B8" s="16" t="s">
        <v>79</v>
      </c>
      <c r="C8" s="16" t="s">
        <v>80</v>
      </c>
      <c r="D8" s="18">
        <v>30</v>
      </c>
      <c r="E8" s="16">
        <v>5</v>
      </c>
      <c r="F8" s="16" t="s">
        <v>60</v>
      </c>
    </row>
    <row r="9" spans="1:6" ht="14.5">
      <c r="A9" s="14" t="s">
        <v>82</v>
      </c>
      <c r="B9" s="14" t="s">
        <v>83</v>
      </c>
      <c r="C9" s="14" t="s">
        <v>84</v>
      </c>
      <c r="D9" s="19">
        <v>90</v>
      </c>
      <c r="E9" s="14">
        <v>35</v>
      </c>
      <c r="F9" s="14" t="s">
        <v>65</v>
      </c>
    </row>
    <row r="10" spans="1:6" ht="14.5">
      <c r="A10" s="16" t="s">
        <v>85</v>
      </c>
      <c r="B10" s="16" t="s">
        <v>86</v>
      </c>
      <c r="C10" s="16" t="s">
        <v>87</v>
      </c>
      <c r="D10" s="18">
        <v>500</v>
      </c>
      <c r="E10" s="16">
        <v>50</v>
      </c>
      <c r="F10" s="16" t="s">
        <v>55</v>
      </c>
    </row>
    <row r="11" spans="1:6" ht="14.5">
      <c r="A11" s="14" t="s">
        <v>89</v>
      </c>
      <c r="B11" s="14" t="s">
        <v>90</v>
      </c>
      <c r="C11" s="14" t="s">
        <v>91</v>
      </c>
      <c r="D11" s="19">
        <v>130</v>
      </c>
      <c r="E11" s="14">
        <v>10</v>
      </c>
      <c r="F11" s="14" t="s">
        <v>94</v>
      </c>
    </row>
    <row r="12" spans="1:6" ht="14.5">
      <c r="A12" s="16" t="s">
        <v>95</v>
      </c>
      <c r="B12" s="16" t="s">
        <v>53</v>
      </c>
      <c r="C12" s="16" t="s">
        <v>98</v>
      </c>
      <c r="D12" s="18">
        <v>950</v>
      </c>
      <c r="E12" s="16">
        <v>25</v>
      </c>
      <c r="F12" s="16" t="s">
        <v>55</v>
      </c>
    </row>
    <row r="13" spans="1:6" ht="14.5">
      <c r="A13" s="14" t="s">
        <v>102</v>
      </c>
      <c r="B13" s="14" t="s">
        <v>57</v>
      </c>
      <c r="C13" s="14" t="s">
        <v>80</v>
      </c>
      <c r="D13" s="19">
        <v>90</v>
      </c>
      <c r="E13" s="14">
        <v>40</v>
      </c>
      <c r="F13" s="14"/>
    </row>
    <row r="14" spans="1:6" ht="14.5">
      <c r="A14" s="16" t="s">
        <v>106</v>
      </c>
      <c r="B14" s="16" t="s">
        <v>62</v>
      </c>
      <c r="C14" s="16" t="s">
        <v>108</v>
      </c>
      <c r="D14" s="18">
        <v>120</v>
      </c>
      <c r="E14" s="16">
        <v>35</v>
      </c>
      <c r="F14" s="16"/>
    </row>
    <row r="15" spans="1:6" ht="14.5">
      <c r="A15" s="14" t="s">
        <v>113</v>
      </c>
      <c r="B15" s="14" t="s">
        <v>114</v>
      </c>
      <c r="C15" s="14" t="s">
        <v>116</v>
      </c>
      <c r="D15" s="19">
        <v>150</v>
      </c>
      <c r="E15" s="14">
        <v>15</v>
      </c>
      <c r="F15" s="14" t="s">
        <v>76</v>
      </c>
    </row>
    <row r="16" spans="1:6" ht="14.5">
      <c r="A16" s="16" t="s">
        <v>118</v>
      </c>
      <c r="B16" s="16" t="s">
        <v>120</v>
      </c>
      <c r="C16" s="16" t="s">
        <v>121</v>
      </c>
      <c r="D16" s="18">
        <v>250</v>
      </c>
      <c r="E16" s="16">
        <v>20</v>
      </c>
      <c r="F16" s="16" t="s">
        <v>76</v>
      </c>
    </row>
    <row r="17" spans="1:6" ht="14.5">
      <c r="A17" s="14" t="s">
        <v>125</v>
      </c>
      <c r="B17" s="14" t="s">
        <v>126</v>
      </c>
      <c r="C17" s="14" t="s">
        <v>127</v>
      </c>
      <c r="D17" s="19">
        <v>50</v>
      </c>
      <c r="E17" s="14">
        <v>35</v>
      </c>
      <c r="F17" s="14" t="s">
        <v>129</v>
      </c>
    </row>
    <row r="18" spans="1:6" ht="14.5">
      <c r="A18" s="16" t="s">
        <v>131</v>
      </c>
      <c r="B18" s="16" t="s">
        <v>114</v>
      </c>
      <c r="C18" s="16" t="s">
        <v>132</v>
      </c>
      <c r="D18" s="18">
        <v>160</v>
      </c>
      <c r="E18" s="16">
        <v>15</v>
      </c>
      <c r="F18" s="16" t="s">
        <v>76</v>
      </c>
    </row>
    <row r="19" spans="1:6" ht="14.5">
      <c r="A19" s="14" t="s">
        <v>136</v>
      </c>
      <c r="B19" s="14" t="s">
        <v>48</v>
      </c>
      <c r="C19" s="14" t="s">
        <v>138</v>
      </c>
      <c r="D19" s="19">
        <v>980</v>
      </c>
      <c r="E19" s="14">
        <v>10</v>
      </c>
      <c r="F19" s="14" t="s">
        <v>55</v>
      </c>
    </row>
    <row r="20" spans="1:6" ht="14.5">
      <c r="A20" s="16" t="s">
        <v>139</v>
      </c>
      <c r="B20" s="16" t="s">
        <v>140</v>
      </c>
      <c r="C20" s="16" t="s">
        <v>141</v>
      </c>
      <c r="D20" s="18">
        <v>150</v>
      </c>
      <c r="E20" s="16">
        <v>15</v>
      </c>
      <c r="F20" s="16" t="s">
        <v>60</v>
      </c>
    </row>
    <row r="21" spans="1:6" ht="15.75" customHeight="1">
      <c r="A21" s="14" t="s">
        <v>146</v>
      </c>
      <c r="B21" s="14" t="s">
        <v>147</v>
      </c>
      <c r="C21" s="14" t="s">
        <v>148</v>
      </c>
      <c r="D21" s="19"/>
      <c r="E21" s="14">
        <v>10</v>
      </c>
      <c r="F21" s="14" t="s">
        <v>94</v>
      </c>
    </row>
    <row r="22" spans="1:6" ht="15.75" customHeight="1">
      <c r="A22" s="16" t="s">
        <v>151</v>
      </c>
      <c r="B22" s="16" t="s">
        <v>152</v>
      </c>
      <c r="C22" s="16" t="s">
        <v>154</v>
      </c>
      <c r="D22" s="18">
        <v>700</v>
      </c>
      <c r="E22" s="16">
        <v>50</v>
      </c>
      <c r="F22" s="16" t="s">
        <v>55</v>
      </c>
    </row>
    <row r="23" spans="1:6" ht="15.75" customHeight="1">
      <c r="A23" s="14" t="s">
        <v>158</v>
      </c>
      <c r="B23" s="14" t="s">
        <v>159</v>
      </c>
      <c r="C23" s="14" t="s">
        <v>161</v>
      </c>
      <c r="D23" s="19">
        <v>80</v>
      </c>
      <c r="E23" s="14">
        <v>20</v>
      </c>
      <c r="F23" s="14" t="s">
        <v>65</v>
      </c>
    </row>
    <row r="24" spans="1:6" ht="15.75" customHeight="1">
      <c r="A24" s="16" t="s">
        <v>164</v>
      </c>
      <c r="B24" s="16" t="s">
        <v>166</v>
      </c>
      <c r="C24" s="16" t="s">
        <v>167</v>
      </c>
      <c r="D24" s="18">
        <v>150</v>
      </c>
      <c r="E24" s="16">
        <v>30</v>
      </c>
      <c r="F24" s="16"/>
    </row>
    <row r="25" spans="1:6" ht="15.75" customHeight="1">
      <c r="A25" s="14" t="s">
        <v>125</v>
      </c>
      <c r="B25" s="14" t="s">
        <v>126</v>
      </c>
      <c r="C25" s="14" t="s">
        <v>127</v>
      </c>
      <c r="D25" s="19">
        <v>50</v>
      </c>
      <c r="E25" s="14">
        <v>35</v>
      </c>
      <c r="F25" s="14" t="s">
        <v>129</v>
      </c>
    </row>
    <row r="26" spans="1:6" ht="15.75" customHeight="1">
      <c r="A26" s="16" t="s">
        <v>178</v>
      </c>
      <c r="B26" s="16" t="s">
        <v>78</v>
      </c>
      <c r="C26" s="16" t="s">
        <v>181</v>
      </c>
      <c r="D26" s="18">
        <v>800</v>
      </c>
      <c r="E26" s="16">
        <v>45</v>
      </c>
      <c r="F26" s="16" t="s">
        <v>55</v>
      </c>
    </row>
    <row r="27" spans="1:6" ht="15.75" customHeight="1">
      <c r="A27" s="14" t="s">
        <v>186</v>
      </c>
      <c r="B27" s="14" t="s">
        <v>140</v>
      </c>
      <c r="C27" s="14" t="s">
        <v>188</v>
      </c>
      <c r="D27" s="19"/>
      <c r="E27" s="14">
        <v>25</v>
      </c>
      <c r="F27" s="14" t="s">
        <v>60</v>
      </c>
    </row>
    <row r="28" spans="1:6" ht="15.75" customHeight="1">
      <c r="A28" s="16" t="s">
        <v>192</v>
      </c>
      <c r="B28" s="16" t="s">
        <v>83</v>
      </c>
      <c r="C28" s="16" t="s">
        <v>194</v>
      </c>
      <c r="D28" s="18">
        <v>400</v>
      </c>
      <c r="E28" s="16">
        <v>40</v>
      </c>
      <c r="F28" s="16" t="s">
        <v>65</v>
      </c>
    </row>
    <row r="29" spans="1:6" ht="15.75" customHeight="1">
      <c r="A29" s="14" t="s">
        <v>118</v>
      </c>
      <c r="B29" s="14" t="s">
        <v>120</v>
      </c>
      <c r="C29" s="14" t="s">
        <v>121</v>
      </c>
      <c r="D29" s="19">
        <v>250</v>
      </c>
      <c r="E29" s="14">
        <v>20</v>
      </c>
      <c r="F29" s="14" t="s">
        <v>76</v>
      </c>
    </row>
    <row r="30" spans="1:6" ht="15.75" customHeight="1">
      <c r="A30" s="16" t="s">
        <v>202</v>
      </c>
      <c r="B30" s="16" t="s">
        <v>203</v>
      </c>
      <c r="C30" s="16" t="s">
        <v>204</v>
      </c>
      <c r="D30" s="18">
        <v>60</v>
      </c>
      <c r="E30" s="16">
        <v>30</v>
      </c>
      <c r="F30" s="16" t="s">
        <v>60</v>
      </c>
    </row>
    <row r="31" spans="1:6" ht="15.75" customHeight="1">
      <c r="A31" s="14" t="s">
        <v>210</v>
      </c>
      <c r="B31" s="14" t="s">
        <v>211</v>
      </c>
      <c r="C31" s="14" t="s">
        <v>213</v>
      </c>
      <c r="D31" s="19">
        <v>40</v>
      </c>
      <c r="E31" s="14">
        <v>10</v>
      </c>
      <c r="F31" s="14" t="s">
        <v>65</v>
      </c>
    </row>
    <row r="32" spans="1:6" ht="15.75" customHeight="1">
      <c r="A32" s="16" t="s">
        <v>216</v>
      </c>
      <c r="B32" s="16" t="s">
        <v>166</v>
      </c>
      <c r="C32" s="16" t="s">
        <v>219</v>
      </c>
      <c r="D32" s="18">
        <v>130</v>
      </c>
      <c r="E32" s="16">
        <v>5</v>
      </c>
      <c r="F32" s="16" t="s">
        <v>55</v>
      </c>
    </row>
    <row r="33" spans="1:6" ht="15.75" customHeight="1">
      <c r="A33" s="14" t="s">
        <v>223</v>
      </c>
      <c r="B33" s="14" t="s">
        <v>224</v>
      </c>
      <c r="C33" s="14" t="s">
        <v>226</v>
      </c>
      <c r="D33" s="19">
        <v>50</v>
      </c>
      <c r="E33" s="14">
        <v>50</v>
      </c>
      <c r="F33" s="14" t="s">
        <v>60</v>
      </c>
    </row>
    <row r="34" spans="1:6" ht="15.75" customHeight="1">
      <c r="A34" s="16" t="s">
        <v>95</v>
      </c>
      <c r="B34" s="16" t="s">
        <v>53</v>
      </c>
      <c r="C34" s="16" t="s">
        <v>98</v>
      </c>
      <c r="D34" s="18">
        <v>950</v>
      </c>
      <c r="E34" s="16">
        <v>25</v>
      </c>
      <c r="F34" s="16" t="s">
        <v>55</v>
      </c>
    </row>
    <row r="35" spans="1:6" ht="15.75" customHeight="1">
      <c r="A35" s="14" t="s">
        <v>231</v>
      </c>
      <c r="B35" s="14" t="s">
        <v>232</v>
      </c>
      <c r="C35" s="14" t="s">
        <v>233</v>
      </c>
      <c r="D35" s="19">
        <v>100</v>
      </c>
      <c r="E35" s="14">
        <v>20</v>
      </c>
      <c r="F35" s="14" t="s">
        <v>129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FEFD661-030D-4D65-B5E4-BE511D382733}" filter="1" showAutoFilter="1">
      <pageMargins left="0.7" right="0.7" top="0.75" bottom="0.75" header="0.3" footer="0.3"/>
      <autoFilter ref="A1:F35" xr:uid="{3B486423-7FC5-4298-B114-676162381F63}"/>
      <extLst>
        <ext uri="GoogleSheetsCustomDataVersion1">
          <go:sheetsCustomData xmlns:go="http://customooxmlschemas.google.com/" filterViewId="2126918734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30" customWidth="1"/>
    <col min="2" max="2" width="115" customWidth="1"/>
    <col min="3" max="26" width="8.7265625" customWidth="1"/>
  </cols>
  <sheetData>
    <row r="1" spans="1:2" ht="30" customHeight="1">
      <c r="A1" s="15" t="s">
        <v>92</v>
      </c>
      <c r="B1" s="15" t="s">
        <v>96</v>
      </c>
    </row>
    <row r="2" spans="1:2" ht="34.5" customHeight="1">
      <c r="A2" s="16" t="s">
        <v>99</v>
      </c>
      <c r="B2" s="16" t="s">
        <v>99</v>
      </c>
    </row>
    <row r="3" spans="1:2" ht="34.5" customHeight="1">
      <c r="A3" s="14" t="s">
        <v>101</v>
      </c>
      <c r="B3" s="14" t="s">
        <v>103</v>
      </c>
    </row>
    <row r="4" spans="1:2" ht="34.5" customHeight="1">
      <c r="A4" s="16" t="s">
        <v>104</v>
      </c>
      <c r="B4" s="16" t="s">
        <v>105</v>
      </c>
    </row>
    <row r="5" spans="1:2" ht="34.5" customHeight="1">
      <c r="A5" s="14" t="s">
        <v>104</v>
      </c>
      <c r="B5" s="14" t="s">
        <v>107</v>
      </c>
    </row>
    <row r="6" spans="1:2" ht="34.5" customHeight="1">
      <c r="A6" s="16" t="s">
        <v>104</v>
      </c>
      <c r="B6" s="16" t="s">
        <v>110</v>
      </c>
    </row>
    <row r="7" spans="1:2" ht="34.5" customHeight="1">
      <c r="A7" s="14" t="s">
        <v>104</v>
      </c>
      <c r="B7" s="14" t="s">
        <v>112</v>
      </c>
    </row>
    <row r="8" spans="1:2" ht="34.5" customHeight="1">
      <c r="A8" s="16" t="s">
        <v>104</v>
      </c>
      <c r="B8" s="16" t="s">
        <v>115</v>
      </c>
    </row>
    <row r="9" spans="1:2" ht="34.5" customHeight="1">
      <c r="A9" s="14" t="s">
        <v>104</v>
      </c>
      <c r="B9" s="14" t="s">
        <v>117</v>
      </c>
    </row>
    <row r="10" spans="1:2" ht="34.5" customHeight="1">
      <c r="A10" s="16" t="s">
        <v>104</v>
      </c>
      <c r="B10" s="16" t="s">
        <v>119</v>
      </c>
    </row>
    <row r="11" spans="1:2" ht="34.5" customHeight="1">
      <c r="A11" s="14" t="s">
        <v>104</v>
      </c>
      <c r="B11" s="14" t="s">
        <v>122</v>
      </c>
    </row>
    <row r="12" spans="1:2" ht="34.5" customHeight="1">
      <c r="A12" s="16" t="s">
        <v>104</v>
      </c>
      <c r="B12" s="16" t="s">
        <v>123</v>
      </c>
    </row>
    <row r="13" spans="1:2" ht="34.5" customHeight="1">
      <c r="A13" s="14" t="s">
        <v>104</v>
      </c>
      <c r="B13" s="14" t="s">
        <v>128</v>
      </c>
    </row>
    <row r="14" spans="1:2" ht="34.5" customHeight="1">
      <c r="A14" s="16" t="s">
        <v>104</v>
      </c>
      <c r="B14" s="16" t="s">
        <v>130</v>
      </c>
    </row>
    <row r="15" spans="1:2" ht="34.5" customHeight="1">
      <c r="A15" s="14" t="s">
        <v>104</v>
      </c>
      <c r="B15" s="14" t="s">
        <v>133</v>
      </c>
    </row>
    <row r="16" spans="1:2" ht="34.5" customHeight="1">
      <c r="A16" s="16" t="s">
        <v>104</v>
      </c>
      <c r="B16" s="16" t="s">
        <v>134</v>
      </c>
    </row>
    <row r="17" spans="1:2" ht="34.5" customHeight="1">
      <c r="A17" s="14" t="s">
        <v>104</v>
      </c>
      <c r="B17" s="14" t="s">
        <v>137</v>
      </c>
    </row>
    <row r="18" spans="1:2" ht="34.5" customHeight="1">
      <c r="A18" s="16" t="s">
        <v>104</v>
      </c>
      <c r="B18" s="16" t="s">
        <v>142</v>
      </c>
    </row>
    <row r="19" spans="1:2" ht="34.5" customHeight="1">
      <c r="A19" s="14" t="s">
        <v>104</v>
      </c>
      <c r="B19" s="14" t="s">
        <v>144</v>
      </c>
    </row>
    <row r="20" spans="1:2" ht="34.5" customHeight="1">
      <c r="A20" s="16" t="s">
        <v>145</v>
      </c>
      <c r="B20" s="16" t="s">
        <v>145</v>
      </c>
    </row>
    <row r="21" spans="1:2" ht="34.5" customHeight="1">
      <c r="A21" s="14" t="s">
        <v>149</v>
      </c>
      <c r="B21" s="14" t="s">
        <v>150</v>
      </c>
    </row>
    <row r="22" spans="1:2" ht="34.5" customHeight="1">
      <c r="A22" s="16" t="s">
        <v>104</v>
      </c>
      <c r="B22" s="16" t="s">
        <v>153</v>
      </c>
    </row>
    <row r="23" spans="1:2" ht="34.5" customHeight="1">
      <c r="A23" s="14" t="s">
        <v>149</v>
      </c>
      <c r="B23" s="14" t="s">
        <v>156</v>
      </c>
    </row>
    <row r="24" spans="1:2" ht="34.5" customHeight="1">
      <c r="A24" s="16" t="s">
        <v>149</v>
      </c>
      <c r="B24" s="16" t="s">
        <v>157</v>
      </c>
    </row>
    <row r="25" spans="1:2" ht="34.5" customHeight="1">
      <c r="A25" s="14" t="s">
        <v>104</v>
      </c>
      <c r="B25" s="14" t="s">
        <v>162</v>
      </c>
    </row>
    <row r="26" spans="1:2" ht="34.5" customHeight="1">
      <c r="A26" s="16" t="s">
        <v>104</v>
      </c>
      <c r="B26" s="16" t="s">
        <v>163</v>
      </c>
    </row>
    <row r="27" spans="1:2" ht="34.5" customHeight="1">
      <c r="A27" s="14" t="s">
        <v>104</v>
      </c>
      <c r="B27" s="14" t="s">
        <v>165</v>
      </c>
    </row>
    <row r="28" spans="1:2" ht="34.5" customHeight="1">
      <c r="A28" s="16" t="s">
        <v>104</v>
      </c>
      <c r="B28" s="16" t="s">
        <v>168</v>
      </c>
    </row>
    <row r="29" spans="1:2" ht="34.5" customHeight="1">
      <c r="A29" s="14" t="s">
        <v>169</v>
      </c>
      <c r="B29" s="14" t="s">
        <v>169</v>
      </c>
    </row>
    <row r="30" spans="1:2" ht="34.5" customHeight="1">
      <c r="A30" s="16" t="s">
        <v>171</v>
      </c>
      <c r="B30" s="16" t="s">
        <v>172</v>
      </c>
    </row>
    <row r="31" spans="1:2" ht="34.5" customHeight="1">
      <c r="A31" s="14" t="s">
        <v>104</v>
      </c>
      <c r="B31" s="14" t="s">
        <v>173</v>
      </c>
    </row>
    <row r="32" spans="1:2" ht="34.5" customHeight="1">
      <c r="A32" s="16" t="s">
        <v>104</v>
      </c>
      <c r="B32" s="16" t="s">
        <v>175</v>
      </c>
    </row>
    <row r="33" spans="1:2" ht="34.5" customHeight="1">
      <c r="A33" s="14" t="s">
        <v>104</v>
      </c>
      <c r="B33" s="14" t="s">
        <v>176</v>
      </c>
    </row>
    <row r="34" spans="1:2" ht="34.5" customHeight="1">
      <c r="A34" s="16" t="s">
        <v>171</v>
      </c>
      <c r="B34" s="16" t="s">
        <v>177</v>
      </c>
    </row>
    <row r="35" spans="1:2" ht="34.5" customHeight="1">
      <c r="A35" s="14" t="s">
        <v>104</v>
      </c>
      <c r="B35" s="14" t="s">
        <v>179</v>
      </c>
    </row>
    <row r="36" spans="1:2" ht="34.5" customHeight="1">
      <c r="A36" s="16" t="s">
        <v>180</v>
      </c>
      <c r="B36" s="16" t="s">
        <v>180</v>
      </c>
    </row>
    <row r="37" spans="1:2" ht="34.5" customHeight="1">
      <c r="A37" s="14" t="s">
        <v>183</v>
      </c>
      <c r="B37" s="14" t="s">
        <v>184</v>
      </c>
    </row>
    <row r="38" spans="1:2" ht="34.5" customHeight="1">
      <c r="A38" s="16" t="s">
        <v>183</v>
      </c>
      <c r="B38" s="16" t="s">
        <v>185</v>
      </c>
    </row>
    <row r="39" spans="1:2" ht="34.5" customHeight="1">
      <c r="A39" s="14" t="s">
        <v>104</v>
      </c>
      <c r="B39" s="14" t="s">
        <v>189</v>
      </c>
    </row>
    <row r="40" spans="1:2" ht="34.5" customHeight="1">
      <c r="A40" s="16" t="s">
        <v>190</v>
      </c>
      <c r="B40" s="16" t="s">
        <v>191</v>
      </c>
    </row>
    <row r="41" spans="1:2" ht="34.5" customHeight="1">
      <c r="A41" s="14" t="s">
        <v>104</v>
      </c>
      <c r="B41" s="14" t="s">
        <v>193</v>
      </c>
    </row>
    <row r="42" spans="1:2" ht="34.5" customHeight="1">
      <c r="A42" s="16" t="s">
        <v>183</v>
      </c>
      <c r="B42" s="16" t="s">
        <v>195</v>
      </c>
    </row>
    <row r="43" spans="1:2" ht="34.5" customHeight="1">
      <c r="A43" s="14" t="s">
        <v>104</v>
      </c>
      <c r="B43" s="14" t="s">
        <v>197</v>
      </c>
    </row>
    <row r="44" spans="1:2" ht="34.5" customHeight="1">
      <c r="A44" s="16" t="s">
        <v>104</v>
      </c>
      <c r="B44" s="16" t="s">
        <v>199</v>
      </c>
    </row>
    <row r="45" spans="1:2" ht="34.5" customHeight="1">
      <c r="A45" s="14" t="s">
        <v>104</v>
      </c>
      <c r="B45" s="14" t="s">
        <v>200</v>
      </c>
    </row>
    <row r="46" spans="1:2" ht="34.5" customHeight="1">
      <c r="A46" s="16" t="s">
        <v>201</v>
      </c>
      <c r="B46" s="16" t="s">
        <v>201</v>
      </c>
    </row>
    <row r="47" spans="1:2" ht="34.5" customHeight="1">
      <c r="A47" s="14" t="s">
        <v>190</v>
      </c>
      <c r="B47" s="14" t="s">
        <v>205</v>
      </c>
    </row>
    <row r="48" spans="1:2" ht="34.5" customHeight="1">
      <c r="A48" s="16" t="s">
        <v>104</v>
      </c>
      <c r="B48" s="16" t="s">
        <v>207</v>
      </c>
    </row>
    <row r="49" spans="1:2" ht="34.5" customHeight="1">
      <c r="A49" s="14" t="s">
        <v>104</v>
      </c>
      <c r="B49" s="14" t="s">
        <v>208</v>
      </c>
    </row>
    <row r="50" spans="1:2" ht="34.5" customHeight="1">
      <c r="A50" s="16" t="s">
        <v>190</v>
      </c>
      <c r="B50" s="16" t="s">
        <v>212</v>
      </c>
    </row>
    <row r="51" spans="1:2" ht="34.5" customHeight="1">
      <c r="A51" s="14" t="s">
        <v>104</v>
      </c>
      <c r="B51" s="14" t="s">
        <v>214</v>
      </c>
    </row>
    <row r="52" spans="1:2" ht="34.5" customHeight="1">
      <c r="A52" s="16" t="s">
        <v>104</v>
      </c>
      <c r="B52" s="16" t="s">
        <v>215</v>
      </c>
    </row>
    <row r="53" spans="1:2" ht="34.5" customHeight="1">
      <c r="A53" s="14" t="s">
        <v>104</v>
      </c>
      <c r="B53" s="14" t="s">
        <v>217</v>
      </c>
    </row>
    <row r="54" spans="1:2" ht="34.5" customHeight="1">
      <c r="A54" s="16" t="s">
        <v>218</v>
      </c>
      <c r="B54" s="16" t="s">
        <v>218</v>
      </c>
    </row>
    <row r="55" spans="1:2" ht="34.5" customHeight="1">
      <c r="A55" s="14" t="s">
        <v>220</v>
      </c>
      <c r="B55" s="14" t="s">
        <v>221</v>
      </c>
    </row>
    <row r="56" spans="1:2" ht="34.5" customHeight="1">
      <c r="A56" s="16" t="s">
        <v>104</v>
      </c>
      <c r="B56" s="16" t="s">
        <v>222</v>
      </c>
    </row>
    <row r="57" spans="1:2" ht="34.5" customHeight="1">
      <c r="A57" s="14" t="s">
        <v>190</v>
      </c>
      <c r="B57" s="14" t="s">
        <v>225</v>
      </c>
    </row>
    <row r="58" spans="1:2" ht="34.5" customHeight="1">
      <c r="A58" s="16" t="s">
        <v>220</v>
      </c>
      <c r="B58" s="16" t="s">
        <v>227</v>
      </c>
    </row>
    <row r="59" spans="1:2" ht="34.5" customHeight="1">
      <c r="A59" s="14" t="s">
        <v>104</v>
      </c>
      <c r="B59" s="14" t="s">
        <v>228</v>
      </c>
    </row>
    <row r="60" spans="1:2" ht="34.5" customHeight="1">
      <c r="A60" s="16" t="s">
        <v>190</v>
      </c>
      <c r="B60" s="16" t="s">
        <v>229</v>
      </c>
    </row>
    <row r="61" spans="1:2" ht="34.5" customHeight="1">
      <c r="A61" s="14" t="s">
        <v>104</v>
      </c>
      <c r="B61" s="14" t="s">
        <v>230</v>
      </c>
    </row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1908C08-D31E-44AF-90BA-0C5EF1D4003D}" filter="1" showAutoFilter="1">
      <pageMargins left="0.7" right="0.7" top="0.75" bottom="0.75" header="0.3" footer="0.3"/>
      <autoFilter ref="A1:B61" xr:uid="{A58D32B9-42D2-4BFA-82E1-61ECFBD86264}"/>
      <extLst>
        <ext uri="GoogleSheetsCustomDataVersion1">
          <go:sheetsCustomData xmlns:go="http://customooxmlschemas.google.com/" filterViewId="1626525919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 Questions</vt:lpstr>
      <vt:lpstr>Summary</vt:lpstr>
      <vt:lpstr>Cleaned Dataset</vt:lpstr>
      <vt:lpstr>Original Data</vt:lpstr>
      <vt:lpstr>Cleaning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2026-10-21T06:29:50Z</dcterms:created>
  <dcterms:modified xsi:type="dcterms:W3CDTF">2026-10-21T07:05:20Z</dcterms:modified>
</cp:coreProperties>
</file>