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New folder\"/>
    </mc:Choice>
  </mc:AlternateContent>
  <xr:revisionPtr revIDLastSave="0" documentId="13_ncr:1_{C18210DA-6076-47D5-A3E3-603B3AB0E423}" xr6:coauthVersionLast="47" xr6:coauthVersionMax="47" xr10:uidLastSave="{00000000-0000-0000-0000-000000000000}"/>
  <bookViews>
    <workbookView xWindow="-110" yWindow="-110" windowWidth="19420" windowHeight="10420" activeTab="3" xr2:uid="{8E843F21-9342-44B1-8D17-299C5CCEAF14}"/>
  </bookViews>
  <sheets>
    <sheet name="Sheet1" sheetId="1" r:id="rId1"/>
    <sheet name="Sheet2" sheetId="2" r:id="rId2"/>
    <sheet name="Sheet3" sheetId="3" r:id="rId3"/>
    <sheet name="assignment" sheetId="4" r:id="rId4"/>
    <sheet name="Sheet5" sheetId="5" r:id="rId5"/>
    <sheet name="Sheet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4" i="4" l="1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" i="4"/>
  <c r="J31" i="4"/>
  <c r="J14" i="4"/>
  <c r="J26" i="4"/>
  <c r="J27" i="4"/>
  <c r="J28" i="4"/>
  <c r="J29" i="4"/>
  <c r="J30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</calcChain>
</file>

<file path=xl/sharedStrings.xml><?xml version="1.0" encoding="utf-8"?>
<sst xmlns="http://schemas.openxmlformats.org/spreadsheetml/2006/main" count="266" uniqueCount="144">
  <si>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</si>
  <si>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</si>
  <si>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</si>
  <si>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</si>
  <si>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</si>
  <si>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</si>
  <si>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</si>
  <si>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</si>
  <si>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</si>
  <si>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</si>
  <si>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</si>
  <si>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</si>
  <si>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</si>
  <si>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</si>
  <si>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</si>
  <si>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</si>
  <si>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</si>
  <si>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</si>
  <si>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</si>
  <si>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</si>
  <si>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</si>
  <si>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</si>
  <si>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</si>
  <si>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</si>
  <si>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</si>
  <si>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</si>
  <si>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</si>
  <si>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</si>
  <si>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</si>
  <si>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</si>
  <si>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</si>
  <si>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</si>
  <si>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</si>
  <si>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</si>
  <si>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</si>
  <si>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</si>
  <si>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</si>
  <si>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</si>
  <si>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</si>
  <si>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</si>
  <si>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</si>
  <si>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</si>
  <si>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</si>
  <si>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</si>
  <si>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</si>
  <si>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</si>
  <si>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</si>
  <si>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</si>
  <si>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</si>
  <si>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</si>
  <si>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</si>
  <si>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</si>
  <si>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</si>
  <si>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</si>
  <si>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</si>
  <si>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</si>
  <si>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</si>
  <si>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</si>
  <si>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</si>
  <si>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</si>
  <si>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</si>
  <si>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</si>
  <si>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</si>
  <si>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</si>
  <si>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</si>
  <si>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</si>
  <si>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</si>
  <si>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</si>
  <si>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</si>
  <si>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</si>
  <si>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</si>
  <si>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</si>
  <si>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</si>
  <si>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</si>
  <si>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</si>
  <si>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</si>
  <si>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</si>
  <si>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</si>
  <si>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</si>
  <si>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</si>
  <si>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</si>
  <si>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</si>
  <si>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</si>
  <si>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</si>
  <si>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</si>
  <si>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</si>
  <si>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</si>
  <si>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</si>
  <si>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</si>
  <si>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</si>
  <si>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</si>
  <si>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</si>
  <si>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</si>
  <si>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ASSIGNMENT</t>
  </si>
  <si>
    <t>Data Exploration</t>
  </si>
  <si>
    <t>Formula</t>
  </si>
  <si>
    <t>Use</t>
  </si>
  <si>
    <t>Result</t>
  </si>
  <si>
    <t>All Price add</t>
  </si>
  <si>
    <t>SUM,COUNT,AVERAGE</t>
  </si>
  <si>
    <t>Average Price</t>
  </si>
  <si>
    <t>=AVERAGE(D7:D40)</t>
  </si>
  <si>
    <t>MIN,MAX</t>
  </si>
  <si>
    <t>Min Price</t>
  </si>
  <si>
    <t>Max Price</t>
  </si>
  <si>
    <t>IF FUNCTION</t>
  </si>
  <si>
    <t>Product Range</t>
  </si>
  <si>
    <t>Formula:</t>
  </si>
  <si>
    <t>500,"High Price","StandardPrice")</t>
  </si>
  <si>
    <r>
      <t xml:space="preserve">    </t>
    </r>
    <r>
      <rPr>
        <b/>
        <sz val="16"/>
        <color theme="1"/>
        <rFont val="Calibri"/>
        <family val="2"/>
        <scheme val="minor"/>
      </rPr>
      <t xml:space="preserve"> SUMIF and COUNTIF</t>
    </r>
  </si>
  <si>
    <t>=SUMIF(range,criteria,[sum_range])</t>
  </si>
  <si>
    <t>=SUM(D7:D40)</t>
  </si>
  <si>
    <t>All price count</t>
  </si>
  <si>
    <t>=COUNT(D7:D40) or</t>
  </si>
  <si>
    <t>=COUNTA(A7:A40)</t>
  </si>
  <si>
    <t>Total product count</t>
  </si>
  <si>
    <t>=SUM(number1,number2,….)</t>
  </si>
  <si>
    <t>=COUNTA(number1,number2,….)</t>
  </si>
  <si>
    <t>=AVERAGE(number1,number2,….)</t>
  </si>
  <si>
    <t>=COUNT(number1,number2,….)</t>
  </si>
  <si>
    <t>(number1,number2,…)</t>
  </si>
  <si>
    <t>Function</t>
  </si>
  <si>
    <t>=MIN(number1,[number2],..)'</t>
  </si>
  <si>
    <t>=MAX(number1,[number2],..)'</t>
  </si>
  <si>
    <t>=IF(I26&gt;=500,"High Price","Standard Price")</t>
  </si>
  <si>
    <t>=COUNTIF(range,criteria)</t>
  </si>
  <si>
    <t>=MIN(D7:D40)</t>
  </si>
  <si>
    <t>=MAX(D7:D40)</t>
  </si>
  <si>
    <t>=SUMIF(F7:F40,"Electronics",D7:D40)</t>
  </si>
  <si>
    <t>=COUNTIF(D7:D40,:&lt;100")</t>
  </si>
  <si>
    <t>adidas</t>
  </si>
  <si>
    <t>Hp</t>
  </si>
  <si>
    <t>Day</t>
  </si>
  <si>
    <t>Month</t>
  </si>
  <si>
    <t>Country code</t>
  </si>
  <si>
    <t>Left Function</t>
  </si>
  <si>
    <t>=LEFT(text,[num_chars])</t>
  </si>
  <si>
    <t>=LEFT(S3,2)</t>
  </si>
  <si>
    <t>Right Function</t>
  </si>
  <si>
    <t>=RIGHT(S3,2)</t>
  </si>
  <si>
    <t>MID Function</t>
  </si>
  <si>
    <t>MID(text,start_num,num_chars)</t>
  </si>
  <si>
    <t>=RIGHT(S3,[num_chars])</t>
  </si>
  <si>
    <t>=MID(S3,4,3)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</si>
</sst>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20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sz val="9"/>
      <color rgb="FF002060"/>
      <name val="Calibri"/>
      <family val="2"/>
      <scheme val="minor"/>
    </font>
    <font>
      <sz val="9"/>
      <color rgb="FF002060"/>
      <name val="Arial"/>
      <family val="2"/>
    </font>
    <font>
      <b/>
      <sz val="10"/>
      <color theme="1"/>
      <name val="Calibri"/>
      <family val="2"/>
      <scheme val="minor"/>
    </font>
    <font>
      <b/>
      <sz val="9"/>
      <color rgb="FF002060"/>
      <name val="Calibri"/>
      <family val="2"/>
      <scheme val="minor"/>
    </font>
    <font>
      <b/>
      <sz val="10"/>
      <color theme="1"/>
      <name val="Arial"/>
    </font>
    <font>
      <sz val="10"/>
      <color theme="1"/>
      <name val="Arial"/>
    </font>
  </fonts>
  <fills count="1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92D050"/>
        <bgColor rgb="FF4DD0E1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E0F7FA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79998168889431442"/>
        <bgColor rgb="FF4DD0E1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E0F7FA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0" fontId="3" fillId="0" borderId="0" xfId="0" applyFont="1"/>
    <xf numFmtId="0" fontId="7" fillId="2" borderId="0" xfId="1" applyFont="1" applyFill="1" applyAlignment="1">
      <alignment horizontal="left"/>
    </xf>
    <xf numFmtId="0" fontId="8" fillId="0" borderId="0" xfId="1" applyFont="1" applyAlignment="1">
      <alignment horizontal="left"/>
    </xf>
    <xf numFmtId="0" fontId="8" fillId="3" borderId="0" xfId="1" applyFont="1" applyFill="1" applyAlignment="1">
      <alignment horizontal="left"/>
    </xf>
    <xf numFmtId="0" fontId="9" fillId="4" borderId="1" xfId="1" applyFont="1" applyFill="1" applyBorder="1" applyAlignment="1">
      <alignment horizontal="left"/>
    </xf>
    <xf numFmtId="0" fontId="11" fillId="5" borderId="1" xfId="1" applyFont="1" applyFill="1" applyBorder="1" applyAlignment="1">
      <alignment horizontal="left"/>
    </xf>
    <xf numFmtId="0" fontId="11" fillId="6" borderId="1" xfId="1" applyFont="1" applyFill="1" applyBorder="1" applyAlignment="1">
      <alignment horizontal="left"/>
    </xf>
    <xf numFmtId="0" fontId="12" fillId="0" borderId="0" xfId="0" applyFont="1"/>
    <xf numFmtId="0" fontId="0" fillId="0" borderId="0" xfId="0" applyAlignment="1">
      <alignment horizontal="left" vertical="center"/>
    </xf>
    <xf numFmtId="0" fontId="13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12" fillId="7" borderId="2" xfId="0" applyFont="1" applyFill="1" applyBorder="1"/>
    <xf numFmtId="0" fontId="12" fillId="7" borderId="3" xfId="0" quotePrefix="1" applyFont="1" applyFill="1" applyBorder="1"/>
    <xf numFmtId="0" fontId="12" fillId="7" borderId="3" xfId="0" applyFont="1" applyFill="1" applyBorder="1"/>
    <xf numFmtId="0" fontId="12" fillId="7" borderId="4" xfId="0" applyFont="1" applyFill="1" applyBorder="1"/>
    <xf numFmtId="0" fontId="0" fillId="8" borderId="0" xfId="0" quotePrefix="1" applyFill="1"/>
    <xf numFmtId="0" fontId="0" fillId="8" borderId="0" xfId="0" applyFill="1"/>
    <xf numFmtId="0" fontId="0" fillId="8" borderId="0" xfId="0" applyFill="1" applyAlignment="1">
      <alignment horizontal="center"/>
    </xf>
    <xf numFmtId="0" fontId="0" fillId="8" borderId="0" xfId="0" quotePrefix="1" applyFill="1" applyAlignment="1">
      <alignment horizontal="center"/>
    </xf>
    <xf numFmtId="0" fontId="11" fillId="5" borderId="7" xfId="1" applyFont="1" applyFill="1" applyBorder="1" applyAlignment="1">
      <alignment horizontal="left"/>
    </xf>
    <xf numFmtId="0" fontId="10" fillId="5" borderId="7" xfId="0" applyFont="1" applyFill="1" applyBorder="1" applyAlignment="1">
      <alignment horizontal="left" vertical="center"/>
    </xf>
    <xf numFmtId="0" fontId="11" fillId="0" borderId="0" xfId="1" applyFont="1" applyAlignment="1">
      <alignment horizontal="left"/>
    </xf>
    <xf numFmtId="0" fontId="10" fillId="0" borderId="0" xfId="0" applyFont="1" applyAlignment="1">
      <alignment horizontal="left" vertical="center"/>
    </xf>
    <xf numFmtId="0" fontId="1" fillId="0" borderId="0" xfId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right" vertical="center" indent="21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0" fillId="0" borderId="0" xfId="0" applyAlignment="1">
      <alignment horizontal="right" indent="11"/>
    </xf>
    <xf numFmtId="0" fontId="14" fillId="9" borderId="1" xfId="1" applyFont="1" applyFill="1" applyBorder="1" applyAlignment="1">
      <alignment horizontal="center"/>
    </xf>
    <xf numFmtId="0" fontId="0" fillId="10" borderId="1" xfId="0" applyFill="1" applyBorder="1"/>
    <xf numFmtId="0" fontId="15" fillId="10" borderId="1" xfId="1" applyFont="1" applyFill="1" applyBorder="1"/>
    <xf numFmtId="0" fontId="15" fillId="11" borderId="1" xfId="1" applyFont="1" applyFill="1" applyBorder="1"/>
    <xf numFmtId="0" fontId="0" fillId="0" borderId="0" xfId="0" applyBorder="1"/>
    <xf numFmtId="0" fontId="0" fillId="12" borderId="1" xfId="0" applyFill="1" applyBorder="1" applyAlignment="1">
      <alignment horizontal="left" vertical="center"/>
    </xf>
    <xf numFmtId="0" fontId="0" fillId="12" borderId="6" xfId="0" applyFill="1" applyBorder="1" applyAlignment="1">
      <alignment horizontal="left" vertical="center"/>
    </xf>
    <xf numFmtId="0" fontId="0" fillId="12" borderId="1" xfId="0" applyFill="1" applyBorder="1"/>
    <xf numFmtId="0" fontId="0" fillId="12" borderId="1" xfId="0" quotePrefix="1" applyFill="1" applyBorder="1" applyAlignment="1">
      <alignment horizontal="left" vertical="center"/>
    </xf>
    <xf numFmtId="0" fontId="0" fillId="12" borderId="1" xfId="0" quotePrefix="1" applyFill="1" applyBorder="1"/>
    <xf numFmtId="0" fontId="0" fillId="12" borderId="0" xfId="0" quotePrefix="1" applyFill="1"/>
    <xf numFmtId="0" fontId="0" fillId="12" borderId="0" xfId="0" applyFill="1" applyAlignment="1">
      <alignment horizontal="left" vertical="center"/>
    </xf>
    <xf numFmtId="0" fontId="0" fillId="13" borderId="1" xfId="0" applyFill="1" applyBorder="1" applyAlignment="1">
      <alignment horizontal="left" vertical="top"/>
    </xf>
    <xf numFmtId="0" fontId="0" fillId="13" borderId="1" xfId="0" applyFill="1" applyBorder="1" applyAlignment="1">
      <alignment horizontal="left" vertical="center"/>
    </xf>
    <xf numFmtId="0" fontId="0" fillId="13" borderId="1" xfId="0" applyFill="1" applyBorder="1"/>
    <xf numFmtId="0" fontId="0" fillId="13" borderId="1" xfId="0" quotePrefix="1" applyFill="1" applyBorder="1" applyAlignment="1">
      <alignment horizontal="left" vertical="top"/>
    </xf>
    <xf numFmtId="0" fontId="0" fillId="13" borderId="1" xfId="0" quotePrefix="1" applyFill="1" applyBorder="1"/>
    <xf numFmtId="0" fontId="0" fillId="14" borderId="8" xfId="0" applyFill="1" applyBorder="1"/>
    <xf numFmtId="0" fontId="0" fillId="14" borderId="9" xfId="0" applyFill="1" applyBorder="1"/>
    <xf numFmtId="0" fontId="0" fillId="14" borderId="10" xfId="0" applyFill="1" applyBorder="1"/>
    <xf numFmtId="0" fontId="0" fillId="14" borderId="11" xfId="0" quotePrefix="1" applyFill="1" applyBorder="1"/>
    <xf numFmtId="0" fontId="0" fillId="14" borderId="0" xfId="0" applyFill="1" applyBorder="1"/>
    <xf numFmtId="0" fontId="0" fillId="14" borderId="12" xfId="0" applyFill="1" applyBorder="1"/>
    <xf numFmtId="0" fontId="0" fillId="14" borderId="11" xfId="0" applyFill="1" applyBorder="1"/>
    <xf numFmtId="0" fontId="0" fillId="14" borderId="13" xfId="0" quotePrefix="1" applyFill="1" applyBorder="1"/>
    <xf numFmtId="0" fontId="0" fillId="14" borderId="5" xfId="0" applyFill="1" applyBorder="1"/>
    <xf numFmtId="0" fontId="0" fillId="14" borderId="14" xfId="0" applyFill="1" applyBorder="1"/>
  </cellXfs>
  <cellStyles count="2">
    <cellStyle name="Normal" xfId="0" builtinId="0"/>
    <cellStyle name="Normal 2" xfId="1" xr:uid="{F38E5D0B-271F-4079-AEA1-379395ECEB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EF934-1A33-4946-B003-74821BA1F96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FAD85-051B-495A-A148-85E6234758C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EFFEA-D029-465C-8D3D-2667E63FDE2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E6FCE-4784-4EA5-8770-C1E09BE785F0}">
  <dimension ref="A2:Z70"/>
  <sheetViews>
    <sheetView tabSelected="1" topLeftCell="A22" zoomScale="89" zoomScaleNormal="89" workbookViewId="0">
      <selection activeCell="X14" sqref="X14"/>
    </sheetView>
  </sheetViews>
  <sheetFormatPr defaultRowHeight="14.5" x14ac:dyDescent="0.35"/>
  <cols>
    <col min="1" max="1" width="10.54296875" customWidth="1"/>
    <col min="2" max="2" width="11.7265625" customWidth="1"/>
    <col min="3" max="3" width="11.36328125" customWidth="1"/>
    <col min="4" max="4" width="7.81640625" customWidth="1"/>
    <col min="5" max="5" width="8.36328125" customWidth="1"/>
    <col min="6" max="6" width="13" customWidth="1"/>
    <col min="8" max="8" width="18.08984375" customWidth="1"/>
    <col min="9" max="9" width="17.90625" customWidth="1"/>
    <col min="10" max="10" width="11.81640625" style="9" customWidth="1"/>
    <col min="11" max="11" width="9.1796875" customWidth="1"/>
    <col min="13" max="13" width="10.7265625" customWidth="1"/>
    <col min="19" max="19" width="15.7265625" customWidth="1"/>
    <col min="22" max="22" width="12.90625" customWidth="1"/>
    <col min="26" max="26" width="11.81640625" customWidth="1"/>
  </cols>
  <sheetData>
    <row r="2" spans="1:26" ht="26" x14ac:dyDescent="0.6">
      <c r="E2" s="26" t="s">
        <v>93</v>
      </c>
      <c r="F2" s="26"/>
      <c r="S2" s="31" t="s">
        <v>0</v>
      </c>
      <c r="T2" s="32" t="s">
        <v>132</v>
      </c>
      <c r="U2" s="32" t="s">
        <v>133</v>
      </c>
      <c r="V2" s="32" t="s">
        <v>134</v>
      </c>
    </row>
    <row r="3" spans="1:26" x14ac:dyDescent="0.35">
      <c r="S3" s="33" t="s">
        <v>6</v>
      </c>
      <c r="T3" s="32" t="str">
        <f>LEFT(S3,2)</f>
        <v>28</v>
      </c>
      <c r="U3" s="32" t="str">
        <f>MID(S3,4,3)</f>
        <v>JAN</v>
      </c>
      <c r="V3" s="32" t="str">
        <f>RIGHT(S3,2)</f>
        <v>US</v>
      </c>
      <c r="X3" s="48" t="s">
        <v>135</v>
      </c>
      <c r="Y3" s="49"/>
      <c r="Z3" s="50"/>
    </row>
    <row r="4" spans="1:26" ht="23.5" x14ac:dyDescent="0.55000000000000004">
      <c r="E4" s="1" t="s">
        <v>94</v>
      </c>
      <c r="S4" s="34" t="s">
        <v>10</v>
      </c>
      <c r="T4" s="32" t="str">
        <f t="shared" ref="T4:T36" si="0">LEFT(S4,2)</f>
        <v>15</v>
      </c>
      <c r="U4" s="32" t="str">
        <f t="shared" ref="U4:U36" si="1">MID(S4,4,3)</f>
        <v>FEB</v>
      </c>
      <c r="V4" s="32" t="str">
        <f t="shared" ref="V4:V38" si="2">RIGHT(S4,2)</f>
        <v>US</v>
      </c>
      <c r="X4" s="51" t="s">
        <v>136</v>
      </c>
      <c r="Y4" s="52"/>
      <c r="Z4" s="53"/>
    </row>
    <row r="5" spans="1:26" x14ac:dyDescent="0.35">
      <c r="S5" s="33" t="s">
        <v>14</v>
      </c>
      <c r="T5" s="32" t="str">
        <f t="shared" si="0"/>
        <v>03</v>
      </c>
      <c r="U5" s="32" t="str">
        <f t="shared" si="1"/>
        <v>MAR</v>
      </c>
      <c r="V5" s="32" t="str">
        <f t="shared" si="2"/>
        <v>US</v>
      </c>
      <c r="X5" s="51" t="s">
        <v>137</v>
      </c>
      <c r="Y5" s="52"/>
      <c r="Z5" s="53"/>
    </row>
    <row r="6" spans="1:26" x14ac:dyDescent="0.3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S6" s="34" t="s">
        <v>18</v>
      </c>
      <c r="T6" s="32" t="str">
        <f t="shared" si="0"/>
        <v>11</v>
      </c>
      <c r="U6" s="32" t="str">
        <f t="shared" si="1"/>
        <v>APR</v>
      </c>
      <c r="V6" s="32" t="str">
        <f t="shared" si="2"/>
        <v>US</v>
      </c>
      <c r="X6" s="54" t="s">
        <v>138</v>
      </c>
      <c r="Y6" s="52"/>
      <c r="Z6" s="53"/>
    </row>
    <row r="7" spans="1:26" x14ac:dyDescent="0.35">
      <c r="A7" s="3" t="s">
        <v>6</v>
      </c>
      <c r="B7" s="3" t="s">
        <v>7</v>
      </c>
      <c r="C7" s="3" t="s">
        <v>8</v>
      </c>
      <c r="D7" s="3">
        <v>1000</v>
      </c>
      <c r="E7" s="3">
        <v>30</v>
      </c>
      <c r="F7" s="3" t="s">
        <v>9</v>
      </c>
      <c r="S7" s="33" t="s">
        <v>21</v>
      </c>
      <c r="T7" s="32" t="str">
        <f t="shared" si="0"/>
        <v>22</v>
      </c>
      <c r="U7" s="32" t="str">
        <f t="shared" si="1"/>
        <v>MAY</v>
      </c>
      <c r="V7" s="32" t="str">
        <f t="shared" si="2"/>
        <v>US</v>
      </c>
      <c r="X7" s="51" t="s">
        <v>142</v>
      </c>
      <c r="Y7" s="52"/>
      <c r="Z7" s="53"/>
    </row>
    <row r="8" spans="1:26" x14ac:dyDescent="0.35">
      <c r="A8" s="4" t="s">
        <v>10</v>
      </c>
      <c r="B8" s="4" t="s">
        <v>11</v>
      </c>
      <c r="C8" s="4" t="s">
        <v>12</v>
      </c>
      <c r="D8" s="4">
        <v>80</v>
      </c>
      <c r="E8" s="4">
        <v>15</v>
      </c>
      <c r="F8" s="4" t="s">
        <v>13</v>
      </c>
      <c r="S8" s="34" t="s">
        <v>25</v>
      </c>
      <c r="T8" s="32" t="str">
        <f t="shared" si="0"/>
        <v>07</v>
      </c>
      <c r="U8" s="32" t="str">
        <f t="shared" si="1"/>
        <v>JUN</v>
      </c>
      <c r="V8" s="32" t="str">
        <f t="shared" si="2"/>
        <v>UK</v>
      </c>
      <c r="X8" s="51" t="s">
        <v>139</v>
      </c>
      <c r="Y8" s="52"/>
      <c r="Z8" s="53"/>
    </row>
    <row r="9" spans="1:26" ht="14.5" customHeight="1" x14ac:dyDescent="0.35">
      <c r="A9" s="3" t="s">
        <v>14</v>
      </c>
      <c r="B9" s="3" t="s">
        <v>15</v>
      </c>
      <c r="C9" s="3" t="s">
        <v>16</v>
      </c>
      <c r="D9" s="3">
        <v>130</v>
      </c>
      <c r="E9" s="3">
        <v>40</v>
      </c>
      <c r="F9" s="3" t="s">
        <v>17</v>
      </c>
      <c r="H9" s="27" t="s">
        <v>99</v>
      </c>
      <c r="I9" s="27"/>
      <c r="J9" s="27"/>
      <c r="K9" s="27"/>
      <c r="L9" s="27"/>
      <c r="S9" s="33" t="s">
        <v>28</v>
      </c>
      <c r="T9" s="32" t="str">
        <f t="shared" si="0"/>
        <v>19</v>
      </c>
      <c r="U9" s="32" t="str">
        <f t="shared" si="1"/>
        <v>JUL</v>
      </c>
      <c r="V9" s="32" t="str">
        <f t="shared" si="2"/>
        <v>UK</v>
      </c>
      <c r="X9" s="54" t="s">
        <v>140</v>
      </c>
      <c r="Y9" s="52"/>
      <c r="Z9" s="53"/>
    </row>
    <row r="10" spans="1:26" x14ac:dyDescent="0.35">
      <c r="A10" s="4" t="s">
        <v>18</v>
      </c>
      <c r="B10" s="4" t="s">
        <v>19</v>
      </c>
      <c r="C10" s="4" t="s">
        <v>20</v>
      </c>
      <c r="D10" s="4">
        <v>900</v>
      </c>
      <c r="E10" s="4">
        <v>25</v>
      </c>
      <c r="F10" s="4" t="s">
        <v>9</v>
      </c>
      <c r="H10" s="36" t="s">
        <v>95</v>
      </c>
      <c r="I10" s="36" t="s">
        <v>96</v>
      </c>
      <c r="J10" s="37" t="s">
        <v>97</v>
      </c>
      <c r="K10" s="36" t="s">
        <v>121</v>
      </c>
      <c r="L10" s="38"/>
      <c r="M10" s="38"/>
      <c r="S10" s="34" t="s">
        <v>31</v>
      </c>
      <c r="T10" s="32" t="str">
        <f t="shared" si="0"/>
        <v>23</v>
      </c>
      <c r="U10" s="32" t="str">
        <f t="shared" si="1"/>
        <v>AUG</v>
      </c>
      <c r="V10" s="32" t="str">
        <f t="shared" si="2"/>
        <v>UK</v>
      </c>
      <c r="X10" s="54" t="s">
        <v>141</v>
      </c>
      <c r="Y10" s="52"/>
      <c r="Z10" s="53"/>
    </row>
    <row r="11" spans="1:26" x14ac:dyDescent="0.35">
      <c r="A11" s="3" t="s">
        <v>21</v>
      </c>
      <c r="B11" s="3" t="s">
        <v>22</v>
      </c>
      <c r="C11" s="3" t="s">
        <v>23</v>
      </c>
      <c r="D11" s="3">
        <v>70</v>
      </c>
      <c r="E11" s="3">
        <v>20</v>
      </c>
      <c r="F11" s="3" t="s">
        <v>24</v>
      </c>
      <c r="H11" s="39" t="s">
        <v>111</v>
      </c>
      <c r="I11" s="36" t="s">
        <v>98</v>
      </c>
      <c r="J11" s="37">
        <v>10100</v>
      </c>
      <c r="K11" s="40" t="s">
        <v>116</v>
      </c>
      <c r="L11" s="38"/>
      <c r="M11" s="38"/>
      <c r="S11" s="33" t="s">
        <v>34</v>
      </c>
      <c r="T11" s="32" t="str">
        <f t="shared" si="0"/>
        <v>05</v>
      </c>
      <c r="U11" s="32" t="str">
        <f t="shared" si="1"/>
        <v>SEP</v>
      </c>
      <c r="V11" s="32" t="str">
        <f t="shared" si="2"/>
        <v>UK</v>
      </c>
      <c r="X11" s="55" t="s">
        <v>143</v>
      </c>
      <c r="Y11" s="56"/>
      <c r="Z11" s="57"/>
    </row>
    <row r="12" spans="1:26" x14ac:dyDescent="0.35">
      <c r="A12" s="4" t="s">
        <v>25</v>
      </c>
      <c r="B12" s="4" t="s">
        <v>26</v>
      </c>
      <c r="C12" s="4" t="s">
        <v>27</v>
      </c>
      <c r="D12" s="4">
        <v>200</v>
      </c>
      <c r="E12" s="4">
        <v>45</v>
      </c>
      <c r="F12" s="4" t="s">
        <v>9</v>
      </c>
      <c r="H12" s="39" t="s">
        <v>113</v>
      </c>
      <c r="I12" s="36" t="s">
        <v>112</v>
      </c>
      <c r="J12" s="37">
        <v>34</v>
      </c>
      <c r="K12" s="40" t="s">
        <v>119</v>
      </c>
      <c r="L12" s="38"/>
      <c r="M12" s="38"/>
      <c r="S12" s="34" t="s">
        <v>37</v>
      </c>
      <c r="T12" s="32" t="str">
        <f t="shared" si="0"/>
        <v>14</v>
      </c>
      <c r="U12" s="32" t="str">
        <f t="shared" si="1"/>
        <v>OCT</v>
      </c>
      <c r="V12" s="32" t="str">
        <f t="shared" si="2"/>
        <v>UK</v>
      </c>
      <c r="X12" s="35"/>
      <c r="Y12" s="35"/>
      <c r="Z12" s="35"/>
    </row>
    <row r="13" spans="1:26" x14ac:dyDescent="0.35">
      <c r="A13" s="3" t="s">
        <v>28</v>
      </c>
      <c r="B13" s="3" t="s">
        <v>29</v>
      </c>
      <c r="C13" s="3" t="s">
        <v>30</v>
      </c>
      <c r="D13" s="3">
        <v>30</v>
      </c>
      <c r="E13" s="3">
        <v>5</v>
      </c>
      <c r="F13" s="3" t="s">
        <v>13</v>
      </c>
      <c r="H13" s="41" t="s">
        <v>114</v>
      </c>
      <c r="I13" s="42" t="s">
        <v>115</v>
      </c>
      <c r="J13" s="42">
        <v>34</v>
      </c>
      <c r="K13" s="40" t="s">
        <v>117</v>
      </c>
      <c r="L13" s="38"/>
      <c r="M13" s="38"/>
      <c r="S13" s="33" t="s">
        <v>40</v>
      </c>
      <c r="T13" s="32" t="str">
        <f t="shared" si="0"/>
        <v>17</v>
      </c>
      <c r="U13" s="32" t="str">
        <f t="shared" si="1"/>
        <v>JUN</v>
      </c>
      <c r="V13" s="32" t="str">
        <f t="shared" si="2"/>
        <v>IN</v>
      </c>
    </row>
    <row r="14" spans="1:26" x14ac:dyDescent="0.35">
      <c r="A14" s="4" t="s">
        <v>31</v>
      </c>
      <c r="B14" s="4" t="s">
        <v>32</v>
      </c>
      <c r="C14" s="4" t="s">
        <v>33</v>
      </c>
      <c r="D14" s="4">
        <v>90</v>
      </c>
      <c r="E14" s="4">
        <v>35</v>
      </c>
      <c r="F14" s="4" t="s">
        <v>17</v>
      </c>
      <c r="H14" s="39" t="s">
        <v>101</v>
      </c>
      <c r="I14" s="36" t="s">
        <v>100</v>
      </c>
      <c r="J14" s="37">
        <f>AVERAGE(D7:D40)</f>
        <v>297.05882352941177</v>
      </c>
      <c r="K14" s="40" t="s">
        <v>118</v>
      </c>
      <c r="L14" s="40" t="s">
        <v>120</v>
      </c>
      <c r="M14" s="38"/>
      <c r="S14" s="34" t="s">
        <v>42</v>
      </c>
      <c r="T14" s="32" t="str">
        <f t="shared" si="0"/>
        <v>25</v>
      </c>
      <c r="U14" s="32" t="str">
        <f t="shared" si="1"/>
        <v>NOV</v>
      </c>
      <c r="V14" s="32" t="str">
        <f t="shared" si="2"/>
        <v>AU</v>
      </c>
    </row>
    <row r="15" spans="1:26" x14ac:dyDescent="0.35">
      <c r="A15" s="3" t="s">
        <v>34</v>
      </c>
      <c r="B15" s="3" t="s">
        <v>35</v>
      </c>
      <c r="C15" s="3" t="s">
        <v>36</v>
      </c>
      <c r="D15" s="3">
        <v>500</v>
      </c>
      <c r="E15" s="3">
        <v>50</v>
      </c>
      <c r="F15" s="3" t="s">
        <v>9</v>
      </c>
      <c r="S15" s="33" t="s">
        <v>43</v>
      </c>
      <c r="T15" s="32" t="str">
        <f t="shared" si="0"/>
        <v>08</v>
      </c>
      <c r="U15" s="32" t="str">
        <f t="shared" si="1"/>
        <v>DEC</v>
      </c>
      <c r="V15" s="32" t="str">
        <f t="shared" si="2"/>
        <v>DE</v>
      </c>
    </row>
    <row r="16" spans="1:26" ht="21" x14ac:dyDescent="0.35">
      <c r="A16" s="4" t="s">
        <v>37</v>
      </c>
      <c r="B16" s="4" t="s">
        <v>38</v>
      </c>
      <c r="C16" s="4" t="s">
        <v>39</v>
      </c>
      <c r="D16" s="4">
        <v>130</v>
      </c>
      <c r="E16" s="4">
        <v>10</v>
      </c>
      <c r="F16" s="4" t="s">
        <v>24</v>
      </c>
      <c r="H16" s="28" t="s">
        <v>102</v>
      </c>
      <c r="I16" s="28"/>
      <c r="J16" s="28"/>
      <c r="S16" s="34" t="s">
        <v>45</v>
      </c>
      <c r="T16" s="32" t="str">
        <f t="shared" si="0"/>
        <v>18</v>
      </c>
      <c r="U16" s="32" t="str">
        <f t="shared" si="1"/>
        <v>FEB</v>
      </c>
      <c r="V16" s="32" t="str">
        <f t="shared" si="2"/>
        <v>CA</v>
      </c>
    </row>
    <row r="17" spans="1:22" x14ac:dyDescent="0.35">
      <c r="A17" s="3" t="s">
        <v>40</v>
      </c>
      <c r="B17" s="3" t="s">
        <v>7</v>
      </c>
      <c r="C17" s="3" t="s">
        <v>41</v>
      </c>
      <c r="D17" s="3">
        <v>950</v>
      </c>
      <c r="E17" s="3">
        <v>25</v>
      </c>
      <c r="F17" s="3" t="s">
        <v>9</v>
      </c>
      <c r="H17" s="43" t="s">
        <v>95</v>
      </c>
      <c r="I17" s="43" t="s">
        <v>96</v>
      </c>
      <c r="J17" s="44" t="s">
        <v>97</v>
      </c>
      <c r="K17" s="45"/>
      <c r="L17" s="45" t="s">
        <v>121</v>
      </c>
      <c r="M17" s="45"/>
      <c r="S17" s="33" t="s">
        <v>48</v>
      </c>
      <c r="T17" s="32" t="str">
        <f t="shared" si="0"/>
        <v>16</v>
      </c>
      <c r="U17" s="32" t="str">
        <f t="shared" si="1"/>
        <v>APR</v>
      </c>
      <c r="V17" s="32" t="str">
        <f t="shared" si="2"/>
        <v>ES</v>
      </c>
    </row>
    <row r="18" spans="1:22" x14ac:dyDescent="0.35">
      <c r="A18" s="4" t="s">
        <v>42</v>
      </c>
      <c r="B18" s="4" t="s">
        <v>11</v>
      </c>
      <c r="C18" s="4" t="s">
        <v>30</v>
      </c>
      <c r="D18" s="4">
        <v>90</v>
      </c>
      <c r="E18" s="4">
        <v>40</v>
      </c>
      <c r="F18" s="4" t="s">
        <v>13</v>
      </c>
      <c r="H18" s="46" t="s">
        <v>126</v>
      </c>
      <c r="I18" s="43" t="s">
        <v>103</v>
      </c>
      <c r="J18" s="44">
        <v>30</v>
      </c>
      <c r="K18" s="47" t="s">
        <v>122</v>
      </c>
      <c r="L18" s="45"/>
      <c r="M18" s="45"/>
      <c r="S18" s="34" t="s">
        <v>50</v>
      </c>
      <c r="T18" s="32" t="str">
        <f t="shared" si="0"/>
        <v>21</v>
      </c>
      <c r="U18" s="32" t="str">
        <f t="shared" si="1"/>
        <v>AUG</v>
      </c>
      <c r="V18" s="32" t="str">
        <f t="shared" si="2"/>
        <v>CA</v>
      </c>
    </row>
    <row r="19" spans="1:22" x14ac:dyDescent="0.35">
      <c r="A19" s="3" t="s">
        <v>43</v>
      </c>
      <c r="B19" s="3" t="s">
        <v>15</v>
      </c>
      <c r="C19" s="3" t="s">
        <v>44</v>
      </c>
      <c r="D19" s="3">
        <v>120</v>
      </c>
      <c r="E19" s="3">
        <v>35</v>
      </c>
      <c r="F19" s="3" t="s">
        <v>17</v>
      </c>
      <c r="H19" s="46" t="s">
        <v>127</v>
      </c>
      <c r="I19" s="43" t="s">
        <v>104</v>
      </c>
      <c r="J19" s="44">
        <v>1000</v>
      </c>
      <c r="K19" s="47" t="s">
        <v>123</v>
      </c>
      <c r="L19" s="45"/>
      <c r="M19" s="45"/>
      <c r="S19" s="33" t="s">
        <v>54</v>
      </c>
      <c r="T19" s="32" t="str">
        <f t="shared" si="0"/>
        <v>20</v>
      </c>
      <c r="U19" s="32" t="str">
        <f t="shared" si="1"/>
        <v>AUG</v>
      </c>
      <c r="V19" s="32" t="str">
        <f t="shared" si="2"/>
        <v>CN</v>
      </c>
    </row>
    <row r="20" spans="1:22" x14ac:dyDescent="0.35">
      <c r="A20" s="4" t="s">
        <v>45</v>
      </c>
      <c r="B20" s="4" t="s">
        <v>46</v>
      </c>
      <c r="C20" s="4" t="s">
        <v>47</v>
      </c>
      <c r="D20" s="4">
        <v>150</v>
      </c>
      <c r="E20" s="4">
        <v>15</v>
      </c>
      <c r="F20" s="4" t="s">
        <v>9</v>
      </c>
      <c r="S20" s="34" t="s">
        <v>56</v>
      </c>
      <c r="T20" s="32" t="str">
        <f t="shared" si="0"/>
        <v>27</v>
      </c>
      <c r="U20" s="32" t="str">
        <f t="shared" si="1"/>
        <v>JAN</v>
      </c>
      <c r="V20" s="32" t="str">
        <f t="shared" si="2"/>
        <v>IT</v>
      </c>
    </row>
    <row r="21" spans="1:22" x14ac:dyDescent="0.35">
      <c r="A21" s="3" t="s">
        <v>48</v>
      </c>
      <c r="B21" s="3" t="s">
        <v>26</v>
      </c>
      <c r="C21" s="3" t="s">
        <v>49</v>
      </c>
      <c r="D21" s="3">
        <v>250</v>
      </c>
      <c r="E21" s="3">
        <v>20</v>
      </c>
      <c r="F21" s="3" t="s">
        <v>9</v>
      </c>
      <c r="S21" s="33" t="s">
        <v>58</v>
      </c>
      <c r="T21" s="32" t="str">
        <f t="shared" si="0"/>
        <v>01</v>
      </c>
      <c r="U21" s="32" t="str">
        <f t="shared" si="1"/>
        <v>MAR</v>
      </c>
      <c r="V21" s="32" t="str">
        <f t="shared" si="2"/>
        <v>UK</v>
      </c>
    </row>
    <row r="22" spans="1:22" x14ac:dyDescent="0.35">
      <c r="A22" s="4" t="s">
        <v>50</v>
      </c>
      <c r="B22" s="4" t="s">
        <v>51</v>
      </c>
      <c r="C22" s="4" t="s">
        <v>52</v>
      </c>
      <c r="D22" s="4">
        <v>50</v>
      </c>
      <c r="E22" s="4">
        <v>35</v>
      </c>
      <c r="F22" s="4" t="s">
        <v>53</v>
      </c>
      <c r="S22" s="34" t="s">
        <v>61</v>
      </c>
      <c r="T22" s="32" t="str">
        <f t="shared" si="0"/>
        <v>14</v>
      </c>
      <c r="U22" s="32" t="str">
        <f t="shared" si="1"/>
        <v>AUG</v>
      </c>
      <c r="V22" s="32" t="str">
        <f t="shared" si="2"/>
        <v>US</v>
      </c>
    </row>
    <row r="23" spans="1:22" x14ac:dyDescent="0.35">
      <c r="A23" s="3" t="s">
        <v>54</v>
      </c>
      <c r="B23" s="3" t="s">
        <v>46</v>
      </c>
      <c r="C23" s="3" t="s">
        <v>55</v>
      </c>
      <c r="D23" s="3">
        <v>160</v>
      </c>
      <c r="E23" s="3">
        <v>15</v>
      </c>
      <c r="F23" s="3" t="s">
        <v>9</v>
      </c>
      <c r="S23" s="33" t="s">
        <v>64</v>
      </c>
      <c r="T23" s="32" t="str">
        <f t="shared" si="0"/>
        <v>14</v>
      </c>
      <c r="U23" s="32" t="str">
        <f t="shared" si="1"/>
        <v>MAY</v>
      </c>
      <c r="V23" s="32" t="str">
        <f t="shared" si="2"/>
        <v>RU</v>
      </c>
    </row>
    <row r="24" spans="1:22" ht="23.5" x14ac:dyDescent="0.55000000000000004">
      <c r="A24" s="4" t="s">
        <v>56</v>
      </c>
      <c r="B24" s="4" t="s">
        <v>7</v>
      </c>
      <c r="C24" s="4" t="s">
        <v>57</v>
      </c>
      <c r="D24" s="4">
        <v>980</v>
      </c>
      <c r="E24" s="4">
        <v>10</v>
      </c>
      <c r="F24" s="4" t="s">
        <v>9</v>
      </c>
      <c r="H24" s="29" t="s">
        <v>105</v>
      </c>
      <c r="I24" s="29"/>
      <c r="J24" s="29"/>
      <c r="S24" s="34" t="s">
        <v>67</v>
      </c>
      <c r="T24" s="32" t="str">
        <f t="shared" si="0"/>
        <v>09</v>
      </c>
      <c r="U24" s="32" t="str">
        <f t="shared" si="1"/>
        <v>JAN</v>
      </c>
      <c r="V24" s="32" t="str">
        <f t="shared" si="2"/>
        <v>CA</v>
      </c>
    </row>
    <row r="25" spans="1:22" x14ac:dyDescent="0.35">
      <c r="A25" s="3" t="s">
        <v>58</v>
      </c>
      <c r="B25" s="3" t="s">
        <v>59</v>
      </c>
      <c r="C25" s="3" t="s">
        <v>60</v>
      </c>
      <c r="D25" s="3">
        <v>150</v>
      </c>
      <c r="E25" s="3">
        <v>15</v>
      </c>
      <c r="F25" s="3" t="s">
        <v>13</v>
      </c>
      <c r="H25" s="5" t="s">
        <v>2</v>
      </c>
      <c r="I25" s="5" t="s">
        <v>3</v>
      </c>
      <c r="J25" s="10" t="s">
        <v>106</v>
      </c>
      <c r="S25" s="33" t="s">
        <v>70</v>
      </c>
      <c r="T25" s="32" t="str">
        <f t="shared" si="0"/>
        <v>19</v>
      </c>
      <c r="U25" s="32" t="str">
        <f t="shared" si="1"/>
        <v>JUL</v>
      </c>
      <c r="V25" s="32" t="str">
        <f t="shared" si="2"/>
        <v>BR</v>
      </c>
    </row>
    <row r="26" spans="1:22" x14ac:dyDescent="0.35">
      <c r="A26" s="4" t="s">
        <v>61</v>
      </c>
      <c r="B26" s="4" t="s">
        <v>62</v>
      </c>
      <c r="C26" s="4" t="s">
        <v>63</v>
      </c>
      <c r="D26" s="4">
        <v>200</v>
      </c>
      <c r="E26" s="4">
        <v>10</v>
      </c>
      <c r="F26" s="4" t="s">
        <v>24</v>
      </c>
      <c r="H26" s="6" t="s">
        <v>8</v>
      </c>
      <c r="I26" s="6">
        <v>1000</v>
      </c>
      <c r="J26" s="11" t="str">
        <f>IF(I26&gt;=500,"High Price","Standard Price")</f>
        <v>High Price</v>
      </c>
      <c r="S26" s="34" t="s">
        <v>50</v>
      </c>
      <c r="T26" s="32" t="str">
        <f t="shared" si="0"/>
        <v>21</v>
      </c>
      <c r="U26" s="32" t="str">
        <f t="shared" si="1"/>
        <v>AUG</v>
      </c>
      <c r="V26" s="32" t="str">
        <f t="shared" si="2"/>
        <v>CA</v>
      </c>
    </row>
    <row r="27" spans="1:22" x14ac:dyDescent="0.35">
      <c r="A27" s="3" t="s">
        <v>64</v>
      </c>
      <c r="B27" s="3" t="s">
        <v>65</v>
      </c>
      <c r="C27" s="3" t="s">
        <v>66</v>
      </c>
      <c r="D27" s="3">
        <v>700</v>
      </c>
      <c r="E27" s="3">
        <v>50</v>
      </c>
      <c r="F27" s="3" t="s">
        <v>9</v>
      </c>
      <c r="H27" s="7" t="s">
        <v>12</v>
      </c>
      <c r="I27" s="7">
        <v>80</v>
      </c>
      <c r="J27" s="11" t="str">
        <f t="shared" ref="J27:J59" si="3">IF(I27&gt;=500,"High Price","Standard Price")</f>
        <v>Standard Price</v>
      </c>
      <c r="S27" s="33" t="s">
        <v>73</v>
      </c>
      <c r="T27" s="32" t="str">
        <f t="shared" si="0"/>
        <v>29</v>
      </c>
      <c r="U27" s="32" t="str">
        <f t="shared" si="1"/>
        <v>SEP</v>
      </c>
      <c r="V27" s="32" t="str">
        <f t="shared" si="2"/>
        <v>CA</v>
      </c>
    </row>
    <row r="28" spans="1:22" ht="15" thickBot="1" x14ac:dyDescent="0.4">
      <c r="A28" s="4" t="s">
        <v>67</v>
      </c>
      <c r="B28" s="4" t="s">
        <v>68</v>
      </c>
      <c r="C28" s="4" t="s">
        <v>69</v>
      </c>
      <c r="D28" s="4">
        <v>80</v>
      </c>
      <c r="E28" s="4">
        <v>20</v>
      </c>
      <c r="F28" s="4" t="s">
        <v>17</v>
      </c>
      <c r="H28" s="6" t="s">
        <v>16</v>
      </c>
      <c r="I28" s="6">
        <v>130</v>
      </c>
      <c r="J28" s="11" t="str">
        <f t="shared" si="3"/>
        <v>Standard Price</v>
      </c>
      <c r="S28" s="34" t="s">
        <v>75</v>
      </c>
      <c r="T28" s="32" t="str">
        <f t="shared" si="0"/>
        <v>03</v>
      </c>
      <c r="U28" s="32" t="str">
        <f t="shared" si="1"/>
        <v>JUN</v>
      </c>
      <c r="V28" s="32" t="str">
        <f t="shared" si="2"/>
        <v>CA</v>
      </c>
    </row>
    <row r="29" spans="1:22" ht="15" thickBot="1" x14ac:dyDescent="0.4">
      <c r="A29" s="3" t="s">
        <v>70</v>
      </c>
      <c r="B29" s="3" t="s">
        <v>71</v>
      </c>
      <c r="C29" s="3" t="s">
        <v>72</v>
      </c>
      <c r="D29" s="3">
        <v>150</v>
      </c>
      <c r="E29" s="3">
        <v>30</v>
      </c>
      <c r="F29" s="3" t="s">
        <v>9</v>
      </c>
      <c r="H29" s="7" t="s">
        <v>20</v>
      </c>
      <c r="I29" s="7">
        <v>900</v>
      </c>
      <c r="J29" s="11" t="str">
        <f t="shared" si="3"/>
        <v>High Price</v>
      </c>
      <c r="L29" s="13" t="s">
        <v>107</v>
      </c>
      <c r="M29" s="14" t="s">
        <v>124</v>
      </c>
      <c r="N29" s="15" t="s">
        <v>108</v>
      </c>
      <c r="O29" s="15"/>
      <c r="P29" s="16"/>
      <c r="Q29" s="8"/>
      <c r="S29" s="33" t="s">
        <v>77</v>
      </c>
      <c r="T29" s="32" t="str">
        <f t="shared" si="0"/>
        <v>11</v>
      </c>
      <c r="U29" s="32" t="str">
        <f t="shared" si="1"/>
        <v>JUL</v>
      </c>
      <c r="V29" s="32" t="str">
        <f t="shared" si="2"/>
        <v>CA</v>
      </c>
    </row>
    <row r="30" spans="1:22" x14ac:dyDescent="0.35">
      <c r="A30" s="4" t="s">
        <v>50</v>
      </c>
      <c r="B30" s="4" t="s">
        <v>51</v>
      </c>
      <c r="C30" s="4" t="s">
        <v>52</v>
      </c>
      <c r="D30" s="4">
        <v>50</v>
      </c>
      <c r="E30" s="4">
        <v>35</v>
      </c>
      <c r="F30" s="4" t="s">
        <v>53</v>
      </c>
      <c r="H30" s="6" t="s">
        <v>23</v>
      </c>
      <c r="I30" s="6">
        <v>70</v>
      </c>
      <c r="J30" s="11" t="str">
        <f t="shared" si="3"/>
        <v>Standard Price</v>
      </c>
      <c r="S30" s="34" t="s">
        <v>48</v>
      </c>
      <c r="T30" s="32" t="str">
        <f t="shared" si="0"/>
        <v>16</v>
      </c>
      <c r="U30" s="32" t="str">
        <f t="shared" si="1"/>
        <v>APR</v>
      </c>
      <c r="V30" s="32" t="str">
        <f t="shared" si="2"/>
        <v>ES</v>
      </c>
    </row>
    <row r="31" spans="1:22" x14ac:dyDescent="0.35">
      <c r="A31" s="3" t="s">
        <v>73</v>
      </c>
      <c r="B31" s="3" t="s">
        <v>19</v>
      </c>
      <c r="C31" s="3" t="s">
        <v>74</v>
      </c>
      <c r="D31" s="3">
        <v>800</v>
      </c>
      <c r="E31" s="3">
        <v>45</v>
      </c>
      <c r="F31" s="3" t="s">
        <v>9</v>
      </c>
      <c r="H31" s="6" t="s">
        <v>27</v>
      </c>
      <c r="I31" s="6">
        <v>200</v>
      </c>
      <c r="J31" s="11" t="str">
        <f t="shared" si="3"/>
        <v>Standard Price</v>
      </c>
      <c r="S31" s="33" t="s">
        <v>79</v>
      </c>
      <c r="T31" s="32" t="str">
        <f t="shared" si="0"/>
        <v>07</v>
      </c>
      <c r="U31" s="32" t="str">
        <f t="shared" si="1"/>
        <v>MAR</v>
      </c>
      <c r="V31" s="32" t="str">
        <f t="shared" si="2"/>
        <v>CA</v>
      </c>
    </row>
    <row r="32" spans="1:22" x14ac:dyDescent="0.35">
      <c r="A32" s="4" t="s">
        <v>75</v>
      </c>
      <c r="B32" s="4" t="s">
        <v>59</v>
      </c>
      <c r="C32" s="4" t="s">
        <v>76</v>
      </c>
      <c r="D32" s="4">
        <v>130</v>
      </c>
      <c r="E32" s="4">
        <v>25</v>
      </c>
      <c r="F32" s="4" t="s">
        <v>13</v>
      </c>
      <c r="H32" s="7" t="s">
        <v>130</v>
      </c>
      <c r="I32" s="7">
        <v>30</v>
      </c>
      <c r="J32" s="11" t="str">
        <f t="shared" si="3"/>
        <v>Standard Price</v>
      </c>
      <c r="S32" s="34" t="s">
        <v>82</v>
      </c>
      <c r="T32" s="32" t="str">
        <f t="shared" si="0"/>
        <v>13</v>
      </c>
      <c r="U32" s="32" t="str">
        <f t="shared" si="1"/>
        <v>APR</v>
      </c>
      <c r="V32" s="32" t="str">
        <f t="shared" si="2"/>
        <v>CA</v>
      </c>
    </row>
    <row r="33" spans="1:22" ht="21" x14ac:dyDescent="0.5">
      <c r="A33" s="3" t="s">
        <v>77</v>
      </c>
      <c r="B33" s="3" t="s">
        <v>32</v>
      </c>
      <c r="C33" s="3" t="s">
        <v>78</v>
      </c>
      <c r="D33" s="3">
        <v>400</v>
      </c>
      <c r="E33" s="3">
        <v>40</v>
      </c>
      <c r="F33" s="3" t="s">
        <v>17</v>
      </c>
      <c r="H33" s="6" t="s">
        <v>33</v>
      </c>
      <c r="I33" s="6">
        <v>90</v>
      </c>
      <c r="J33" s="11" t="str">
        <f t="shared" si="3"/>
        <v>Standard Price</v>
      </c>
      <c r="L33" s="30" t="s">
        <v>109</v>
      </c>
      <c r="M33" s="30"/>
      <c r="N33" s="30"/>
      <c r="O33" s="30"/>
      <c r="P33" s="30"/>
      <c r="S33" s="33" t="s">
        <v>85</v>
      </c>
      <c r="T33" s="32" t="str">
        <f t="shared" si="0"/>
        <v>24</v>
      </c>
      <c r="U33" s="32" t="str">
        <f t="shared" si="1"/>
        <v>MAY</v>
      </c>
      <c r="V33" s="32" t="str">
        <f t="shared" si="2"/>
        <v>CA</v>
      </c>
    </row>
    <row r="34" spans="1:22" x14ac:dyDescent="0.35">
      <c r="A34" s="4" t="s">
        <v>48</v>
      </c>
      <c r="B34" s="4" t="s">
        <v>26</v>
      </c>
      <c r="C34" s="4" t="s">
        <v>49</v>
      </c>
      <c r="D34" s="4">
        <v>230</v>
      </c>
      <c r="E34" s="4">
        <v>20</v>
      </c>
      <c r="F34" s="4" t="s">
        <v>9</v>
      </c>
      <c r="H34" s="7" t="s">
        <v>36</v>
      </c>
      <c r="I34" s="7">
        <v>500</v>
      </c>
      <c r="J34" s="11" t="str">
        <f t="shared" si="3"/>
        <v>High Price</v>
      </c>
      <c r="L34" s="17" t="s">
        <v>110</v>
      </c>
      <c r="M34" s="17"/>
      <c r="N34" s="17"/>
      <c r="O34" s="17"/>
      <c r="P34" s="18"/>
      <c r="Q34" s="18"/>
      <c r="S34" s="34" t="s">
        <v>87</v>
      </c>
      <c r="T34" s="32" t="str">
        <f t="shared" si="0"/>
        <v>02</v>
      </c>
      <c r="U34" s="32" t="str">
        <f t="shared" si="1"/>
        <v>DEC</v>
      </c>
      <c r="V34" s="32" t="str">
        <f t="shared" si="2"/>
        <v>CA</v>
      </c>
    </row>
    <row r="35" spans="1:22" x14ac:dyDescent="0.35">
      <c r="A35" s="3" t="s">
        <v>79</v>
      </c>
      <c r="B35" s="3" t="s">
        <v>80</v>
      </c>
      <c r="C35" s="3" t="s">
        <v>81</v>
      </c>
      <c r="D35" s="3">
        <v>60</v>
      </c>
      <c r="E35" s="3">
        <v>30</v>
      </c>
      <c r="F35" s="3" t="s">
        <v>13</v>
      </c>
      <c r="H35" s="6" t="s">
        <v>39</v>
      </c>
      <c r="I35" s="6">
        <v>130</v>
      </c>
      <c r="J35" s="11" t="str">
        <f t="shared" si="3"/>
        <v>Standard Price</v>
      </c>
      <c r="L35" s="17" t="s">
        <v>125</v>
      </c>
      <c r="M35" s="18"/>
      <c r="N35" s="18"/>
      <c r="O35" s="18"/>
      <c r="P35" s="18"/>
      <c r="Q35" s="18"/>
      <c r="S35" s="33" t="s">
        <v>40</v>
      </c>
      <c r="T35" s="32" t="str">
        <f t="shared" si="0"/>
        <v>17</v>
      </c>
      <c r="U35" s="32" t="str">
        <f t="shared" si="1"/>
        <v>JUN</v>
      </c>
      <c r="V35" s="32" t="str">
        <f t="shared" si="2"/>
        <v>IN</v>
      </c>
    </row>
    <row r="36" spans="1:22" x14ac:dyDescent="0.35">
      <c r="A36" s="4" t="s">
        <v>82</v>
      </c>
      <c r="B36" s="4" t="s">
        <v>83</v>
      </c>
      <c r="C36" s="4" t="s">
        <v>84</v>
      </c>
      <c r="D36" s="4">
        <v>40</v>
      </c>
      <c r="E36" s="4">
        <v>10</v>
      </c>
      <c r="F36" s="4" t="s">
        <v>17</v>
      </c>
      <c r="H36" s="7" t="s">
        <v>41</v>
      </c>
      <c r="I36" s="7">
        <v>950</v>
      </c>
      <c r="J36" s="11" t="str">
        <f t="shared" si="3"/>
        <v>High Price</v>
      </c>
      <c r="L36" s="19"/>
      <c r="M36" s="19"/>
      <c r="N36" s="19"/>
      <c r="O36" s="19"/>
      <c r="P36" s="19"/>
      <c r="Q36" s="18"/>
      <c r="S36" s="34" t="s">
        <v>90</v>
      </c>
      <c r="T36" s="32" t="str">
        <f t="shared" si="0"/>
        <v>09</v>
      </c>
      <c r="U36" s="32" t="str">
        <f t="shared" si="1"/>
        <v>JUL</v>
      </c>
      <c r="V36" s="32" t="str">
        <f t="shared" si="2"/>
        <v>FR</v>
      </c>
    </row>
    <row r="37" spans="1:22" x14ac:dyDescent="0.35">
      <c r="A37" s="3" t="s">
        <v>85</v>
      </c>
      <c r="B37" s="3" t="s">
        <v>71</v>
      </c>
      <c r="C37" s="3" t="s">
        <v>86</v>
      </c>
      <c r="D37" s="3">
        <v>130</v>
      </c>
      <c r="E37" s="3">
        <v>5</v>
      </c>
      <c r="F37" s="3" t="s">
        <v>9</v>
      </c>
      <c r="H37" s="6" t="s">
        <v>130</v>
      </c>
      <c r="I37" s="6">
        <v>90</v>
      </c>
      <c r="J37" s="11" t="str">
        <f t="shared" si="3"/>
        <v>Standard Price</v>
      </c>
      <c r="K37" s="12"/>
      <c r="L37" s="19"/>
      <c r="M37" s="20"/>
      <c r="N37" s="20" t="s">
        <v>128</v>
      </c>
      <c r="O37" s="19"/>
      <c r="P37" s="19"/>
      <c r="Q37" s="18">
        <v>8050</v>
      </c>
      <c r="V37" t="str">
        <f t="shared" si="2"/>
        <v/>
      </c>
    </row>
    <row r="38" spans="1:22" x14ac:dyDescent="0.35">
      <c r="A38" s="4" t="s">
        <v>87</v>
      </c>
      <c r="B38" s="4" t="s">
        <v>88</v>
      </c>
      <c r="C38" s="4" t="s">
        <v>89</v>
      </c>
      <c r="D38" s="4">
        <v>50</v>
      </c>
      <c r="E38" s="4">
        <v>50</v>
      </c>
      <c r="F38" s="4" t="s">
        <v>13</v>
      </c>
      <c r="H38" s="7" t="s">
        <v>44</v>
      </c>
      <c r="I38" s="7">
        <v>120</v>
      </c>
      <c r="J38" s="11" t="str">
        <f t="shared" si="3"/>
        <v>Standard Price</v>
      </c>
      <c r="L38" s="17" t="s">
        <v>129</v>
      </c>
      <c r="M38" s="18"/>
      <c r="N38" s="18"/>
      <c r="O38" s="18"/>
      <c r="P38" s="18"/>
      <c r="Q38" s="18">
        <v>11</v>
      </c>
      <c r="V38" t="str">
        <f t="shared" si="2"/>
        <v/>
      </c>
    </row>
    <row r="39" spans="1:22" x14ac:dyDescent="0.35">
      <c r="A39" s="3" t="s">
        <v>40</v>
      </c>
      <c r="B39" s="3" t="s">
        <v>7</v>
      </c>
      <c r="C39" s="3" t="s">
        <v>41</v>
      </c>
      <c r="D39" s="3">
        <v>950</v>
      </c>
      <c r="E39" s="3">
        <v>25</v>
      </c>
      <c r="F39" s="3" t="s">
        <v>9</v>
      </c>
      <c r="H39" s="6" t="s">
        <v>47</v>
      </c>
      <c r="I39" s="6">
        <v>150</v>
      </c>
      <c r="J39" s="11" t="str">
        <f t="shared" si="3"/>
        <v>Standard Price</v>
      </c>
    </row>
    <row r="40" spans="1:22" x14ac:dyDescent="0.35">
      <c r="A40" s="4" t="s">
        <v>90</v>
      </c>
      <c r="B40" s="4" t="s">
        <v>91</v>
      </c>
      <c r="C40" s="4" t="s">
        <v>92</v>
      </c>
      <c r="D40" s="4">
        <v>100</v>
      </c>
      <c r="E40" s="4">
        <v>20</v>
      </c>
      <c r="F40" s="4" t="s">
        <v>53</v>
      </c>
      <c r="H40" s="7" t="s">
        <v>49</v>
      </c>
      <c r="I40" s="7">
        <v>250</v>
      </c>
      <c r="J40" s="11" t="str">
        <f t="shared" si="3"/>
        <v>Standard Price</v>
      </c>
    </row>
    <row r="41" spans="1:22" x14ac:dyDescent="0.35">
      <c r="H41" s="6" t="s">
        <v>52</v>
      </c>
      <c r="I41" s="6">
        <v>50</v>
      </c>
      <c r="J41" s="11" t="str">
        <f t="shared" si="3"/>
        <v>Standard Price</v>
      </c>
    </row>
    <row r="42" spans="1:22" x14ac:dyDescent="0.35">
      <c r="H42" s="7" t="s">
        <v>55</v>
      </c>
      <c r="I42" s="7">
        <v>160</v>
      </c>
      <c r="J42" s="11" t="str">
        <f t="shared" si="3"/>
        <v>Standard Price</v>
      </c>
    </row>
    <row r="43" spans="1:22" x14ac:dyDescent="0.35">
      <c r="H43" s="6" t="s">
        <v>57</v>
      </c>
      <c r="I43" s="6">
        <v>980</v>
      </c>
      <c r="J43" s="11" t="str">
        <f t="shared" si="3"/>
        <v>High Price</v>
      </c>
    </row>
    <row r="44" spans="1:22" x14ac:dyDescent="0.35">
      <c r="H44" s="7" t="s">
        <v>60</v>
      </c>
      <c r="I44" s="7">
        <v>150</v>
      </c>
      <c r="J44" s="11" t="str">
        <f t="shared" si="3"/>
        <v>Standard Price</v>
      </c>
    </row>
    <row r="45" spans="1:22" x14ac:dyDescent="0.35">
      <c r="H45" s="6" t="s">
        <v>63</v>
      </c>
      <c r="I45" s="6">
        <v>200</v>
      </c>
      <c r="J45" s="11" t="str">
        <f t="shared" si="3"/>
        <v>Standard Price</v>
      </c>
    </row>
    <row r="46" spans="1:22" x14ac:dyDescent="0.35">
      <c r="H46" s="7" t="s">
        <v>66</v>
      </c>
      <c r="I46" s="7">
        <v>700</v>
      </c>
      <c r="J46" s="11" t="str">
        <f t="shared" si="3"/>
        <v>High Price</v>
      </c>
    </row>
    <row r="47" spans="1:22" x14ac:dyDescent="0.35">
      <c r="H47" s="6" t="s">
        <v>69</v>
      </c>
      <c r="I47" s="6">
        <v>80</v>
      </c>
      <c r="J47" s="11" t="str">
        <f t="shared" si="3"/>
        <v>Standard Price</v>
      </c>
    </row>
    <row r="48" spans="1:22" x14ac:dyDescent="0.35">
      <c r="H48" s="7" t="s">
        <v>72</v>
      </c>
      <c r="I48" s="7">
        <v>150</v>
      </c>
      <c r="J48" s="11" t="str">
        <f t="shared" si="3"/>
        <v>Standard Price</v>
      </c>
    </row>
    <row r="49" spans="8:19" x14ac:dyDescent="0.35">
      <c r="H49" s="6" t="s">
        <v>52</v>
      </c>
      <c r="I49" s="6">
        <v>50</v>
      </c>
      <c r="J49" s="11" t="str">
        <f t="shared" si="3"/>
        <v>Standard Price</v>
      </c>
    </row>
    <row r="50" spans="8:19" x14ac:dyDescent="0.35">
      <c r="H50" s="7" t="s">
        <v>74</v>
      </c>
      <c r="I50" s="7">
        <v>800</v>
      </c>
      <c r="J50" s="11" t="str">
        <f t="shared" si="3"/>
        <v>High Price</v>
      </c>
    </row>
    <row r="51" spans="8:19" x14ac:dyDescent="0.35">
      <c r="H51" s="6" t="s">
        <v>76</v>
      </c>
      <c r="I51" s="6">
        <v>130</v>
      </c>
      <c r="J51" s="11" t="str">
        <f t="shared" si="3"/>
        <v>Standard Price</v>
      </c>
    </row>
    <row r="52" spans="8:19" x14ac:dyDescent="0.35">
      <c r="H52" s="7" t="s">
        <v>78</v>
      </c>
      <c r="I52" s="7">
        <v>400</v>
      </c>
      <c r="J52" s="11" t="str">
        <f t="shared" si="3"/>
        <v>Standard Price</v>
      </c>
    </row>
    <row r="53" spans="8:19" x14ac:dyDescent="0.35">
      <c r="H53" s="6" t="s">
        <v>49</v>
      </c>
      <c r="I53" s="6">
        <v>230</v>
      </c>
      <c r="J53" s="11" t="str">
        <f t="shared" si="3"/>
        <v>Standard Price</v>
      </c>
    </row>
    <row r="54" spans="8:19" x14ac:dyDescent="0.35">
      <c r="H54" s="7" t="s">
        <v>81</v>
      </c>
      <c r="I54" s="7">
        <v>60</v>
      </c>
      <c r="J54" s="11" t="str">
        <f t="shared" si="3"/>
        <v>Standard Price</v>
      </c>
    </row>
    <row r="55" spans="8:19" x14ac:dyDescent="0.35">
      <c r="H55" s="6" t="s">
        <v>84</v>
      </c>
      <c r="I55" s="6">
        <v>40</v>
      </c>
      <c r="J55" s="11" t="str">
        <f t="shared" si="3"/>
        <v>Standard Price</v>
      </c>
    </row>
    <row r="56" spans="8:19" x14ac:dyDescent="0.35">
      <c r="H56" s="7" t="s">
        <v>86</v>
      </c>
      <c r="I56" s="7">
        <v>130</v>
      </c>
      <c r="J56" s="11" t="str">
        <f t="shared" si="3"/>
        <v>Standard Price</v>
      </c>
    </row>
    <row r="57" spans="8:19" x14ac:dyDescent="0.35">
      <c r="H57" s="6" t="s">
        <v>89</v>
      </c>
      <c r="I57" s="6">
        <v>50</v>
      </c>
      <c r="J57" s="11" t="str">
        <f t="shared" si="3"/>
        <v>Standard Price</v>
      </c>
    </row>
    <row r="58" spans="8:19" x14ac:dyDescent="0.35">
      <c r="H58" s="7" t="s">
        <v>131</v>
      </c>
      <c r="I58" s="7">
        <v>950</v>
      </c>
      <c r="J58" s="11" t="str">
        <f t="shared" si="3"/>
        <v>High Price</v>
      </c>
      <c r="S58" s="25"/>
    </row>
    <row r="59" spans="8:19" x14ac:dyDescent="0.35">
      <c r="H59" s="21" t="s">
        <v>92</v>
      </c>
      <c r="I59" s="21">
        <v>100</v>
      </c>
      <c r="J59" s="22" t="str">
        <f t="shared" si="3"/>
        <v>Standard Price</v>
      </c>
      <c r="S59" s="25"/>
    </row>
    <row r="60" spans="8:19" x14ac:dyDescent="0.35">
      <c r="H60" s="23"/>
      <c r="I60" s="23"/>
      <c r="J60" s="24"/>
      <c r="S60" s="25"/>
    </row>
    <row r="61" spans="8:19" x14ac:dyDescent="0.35">
      <c r="S61" s="25"/>
    </row>
    <row r="62" spans="8:19" x14ac:dyDescent="0.35">
      <c r="S62" s="25"/>
    </row>
    <row r="63" spans="8:19" x14ac:dyDescent="0.35">
      <c r="S63" s="25"/>
    </row>
    <row r="64" spans="8:19" x14ac:dyDescent="0.35">
      <c r="S64" s="25"/>
    </row>
    <row r="65" spans="19:19" x14ac:dyDescent="0.35">
      <c r="S65" s="25"/>
    </row>
    <row r="66" spans="19:19" x14ac:dyDescent="0.35">
      <c r="S66" s="25"/>
    </row>
    <row r="67" spans="19:19" x14ac:dyDescent="0.35">
      <c r="S67" s="25"/>
    </row>
    <row r="68" spans="19:19" x14ac:dyDescent="0.35">
      <c r="S68" s="25"/>
    </row>
    <row r="69" spans="19:19" x14ac:dyDescent="0.35">
      <c r="S69" s="25"/>
    </row>
    <row r="70" spans="19:19" x14ac:dyDescent="0.35">
      <c r="S70" s="25"/>
    </row>
  </sheetData>
  <mergeCells count="5">
    <mergeCell ref="E2:F2"/>
    <mergeCell ref="H9:L9"/>
    <mergeCell ref="H16:J16"/>
    <mergeCell ref="H24:J24"/>
    <mergeCell ref="L33:P3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18C40-1DCA-4632-97CD-4CC5DE2DB88B}">
  <dimension ref="A1"/>
  <sheetViews>
    <sheetView workbookViewId="0">
      <selection activeCell="B3" sqref="B3"/>
    </sheetView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C593D-6EBC-408D-A927-457A36C3E92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1E8F4-ECEA-4D49-AE52-85EA8B9F26C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assignment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2026-10-12T12:48:34Z</dcterms:created>
  <dcterms:modified xsi:type="dcterms:W3CDTF">2026-10-14T16:17:11Z</dcterms:modified>
</cp:coreProperties>
</file>